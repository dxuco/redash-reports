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2026" sheetId="1" r:id="rId4"/>
    <sheet state="visible" name="Data2025" sheetId="2" r:id="rId5"/>
    <sheet state="hidden" name="Data Accrued" sheetId="3" r:id="rId6"/>
  </sheets>
  <definedNames/>
  <calcPr/>
  <pivotCaches>
    <pivotCache cacheId="0" r:id="rId7"/>
    <pivotCache cacheId="1" r:id="rId8"/>
  </pivotCaches>
  <extLst>
    <ext uri="GoogleSheetsCustomDataVersion2">
      <go:sheetsCustomData xmlns:go="http://customooxmlschemas.google.com/" r:id="rId9" roundtripDataChecksum="39k29kJzQZCDpYRDpDtjq9qVOzDDX11f5TPIt1Yn0q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======
ID#AAACD6ymjto
OpenAI    (2026-07-24 07:01:38)
Formula splits campaign cost by month based on campaign days. Finished campaigns use full Cost; ongoing/not-yet-finished campaigns use days accrued up to TODAY().</t>
      </text>
    </comment>
    <comment authorId="0" ref="M1">
      <text>
        <t xml:space="preserve">======
ID#AAACD6ymjtw
OpenAI    (2026-07-24 07:01:38)
Formula splits campaign cost by month based on campaign days. Finished campaigns use full Cost; ongoing/not-yet-finished campaigns use days accrued up to TODAY().</t>
      </text>
    </comment>
    <comment authorId="0" ref="N1">
      <text>
        <t xml:space="preserve">======
ID#AAACD6ymjts
OpenAI    (2026-07-24 07:01:38)
Formula splits campaign cost by month based on campaign days. Finished campaigns use full Cost; ongoing/not-yet-finished campaigns use days accrued up to TODAY().</t>
      </text>
    </comment>
    <comment authorId="0" ref="O1">
      <text>
        <t xml:space="preserve">======
ID#AAACD6ymjt0
OpenAI    (2026-07-24 07:01:38)
Formula splits campaign cost by month based on campaign days. Finished campaigns use full Cost; ongoing/not-yet-finished campaigns use days accrued up to TODAY().</t>
      </text>
    </comment>
    <comment authorId="0" ref="P1">
      <text>
        <t xml:space="preserve">======
ID#AAACD6ymjt4
OpenAI    (2026-07-24 07:01:38)
Formula splits campaign cost by month based on campaign days. Finished campaigns use full Cost; ongoing/not-yet-finished campaigns use days accrued up to TODAY().</t>
      </text>
    </comment>
  </commentList>
  <extLst>
    <ext uri="GoogleSheetsCustomDataVersion2">
      <go:sheetsCustomData xmlns:go="http://customooxmlschemas.google.com/" r:id="rId1" roundtripDataSignature="AMtx7mj2JKoqsYqQJQBYFLiVC1TbMVZVQQ=="/>
    </ext>
  </extLst>
</comments>
</file>

<file path=xl/sharedStrings.xml><?xml version="1.0" encoding="utf-8"?>
<sst xmlns="http://schemas.openxmlformats.org/spreadsheetml/2006/main" count="2048" uniqueCount="366">
  <si>
    <t>Affiliate Name</t>
  </si>
  <si>
    <t>Date</t>
  </si>
  <si>
    <t>Deal Type</t>
  </si>
  <si>
    <t>Partner</t>
  </si>
  <si>
    <t>Payment Date</t>
  </si>
  <si>
    <t>Cost</t>
  </si>
  <si>
    <t>Status</t>
  </si>
  <si>
    <t>Source</t>
  </si>
  <si>
    <t>Starting date</t>
  </si>
  <si>
    <t>End Date</t>
  </si>
  <si>
    <t>Comments</t>
  </si>
  <si>
    <t>webopedia1</t>
  </si>
  <si>
    <t>Jan</t>
  </si>
  <si>
    <t>Listing</t>
  </si>
  <si>
    <t>Feb</t>
  </si>
  <si>
    <t>Mar</t>
  </si>
  <si>
    <t>Apr</t>
  </si>
  <si>
    <t>May</t>
  </si>
  <si>
    <t>Jun</t>
  </si>
  <si>
    <t>Giorgi_Ts</t>
  </si>
  <si>
    <t>Jul</t>
  </si>
  <si>
    <t>Aug</t>
  </si>
  <si>
    <t>Sep</t>
  </si>
  <si>
    <t>Oct</t>
  </si>
  <si>
    <t>Nov</t>
  </si>
  <si>
    <t>ongoing</t>
  </si>
  <si>
    <t>Dec</t>
  </si>
  <si>
    <t>Total</t>
  </si>
  <si>
    <t>SEO</t>
  </si>
  <si>
    <t>vetzx11</t>
  </si>
  <si>
    <t>January accrued costs</t>
  </si>
  <si>
    <t>Fixed</t>
  </si>
  <si>
    <t>February accrued costs</t>
  </si>
  <si>
    <t>March accrued costs</t>
  </si>
  <si>
    <t>April accrued costs</t>
  </si>
  <si>
    <t>May accrued costs</t>
  </si>
  <si>
    <t>June accrued costs</t>
  </si>
  <si>
    <t>January FTD</t>
  </si>
  <si>
    <t>February FTD</t>
  </si>
  <si>
    <t>top100book</t>
  </si>
  <si>
    <t>March FTD</t>
  </si>
  <si>
    <t>April FTD</t>
  </si>
  <si>
    <t>May FTD</t>
  </si>
  <si>
    <t>cryptoCCN1</t>
  </si>
  <si>
    <t>June FTD</t>
  </si>
  <si>
    <t>Ongoing</t>
  </si>
  <si>
    <t>January NGR</t>
  </si>
  <si>
    <t>Atommal</t>
  </si>
  <si>
    <t>February NGR</t>
  </si>
  <si>
    <t>March NGR</t>
  </si>
  <si>
    <t>April NGR</t>
  </si>
  <si>
    <t>May NGR</t>
  </si>
  <si>
    <t>Atanasos86</t>
  </si>
  <si>
    <t>June NGR</t>
  </si>
  <si>
    <t>Boosted</t>
  </si>
  <si>
    <t>BestCryptoCasino</t>
  </si>
  <si>
    <t>Elene_Gh</t>
  </si>
  <si>
    <t>SBGC</t>
  </si>
  <si>
    <t>Brand</t>
  </si>
  <si>
    <t>Ani_S</t>
  </si>
  <si>
    <t>Coincodex</t>
  </si>
  <si>
    <t>Nugi</t>
  </si>
  <si>
    <t>ეს ჩემი გადახდილი არ არის და არ ვიცი დაწყების და დამტავრების დღეები (Nigu, Iva)</t>
  </si>
  <si>
    <t>toprangemain</t>
  </si>
  <si>
    <t>Media</t>
  </si>
  <si>
    <t>Meta</t>
  </si>
  <si>
    <t>არც ესაა ჩემი გადახდილი (Nugi)</t>
  </si>
  <si>
    <t>Community</t>
  </si>
  <si>
    <t>Nini_B</t>
  </si>
  <si>
    <t>Influence</t>
  </si>
  <si>
    <t>profithunters</t>
  </si>
  <si>
    <t>არაა ჩემი გადახდილი (Nugi)</t>
  </si>
  <si>
    <t>Firelink</t>
  </si>
  <si>
    <t>Affiliate SEO</t>
  </si>
  <si>
    <t>Affiliate Meta</t>
  </si>
  <si>
    <t>Affiliate Tipster</t>
  </si>
  <si>
    <t>Affiliate PPC</t>
  </si>
  <si>
    <t>Affiliate DSP</t>
  </si>
  <si>
    <t>coincodex</t>
  </si>
  <si>
    <t>Other</t>
  </si>
  <si>
    <t>rocketlink</t>
  </si>
  <si>
    <t>bwisemedia</t>
  </si>
  <si>
    <t>DSP</t>
  </si>
  <si>
    <t>andriiparfenov1</t>
  </si>
  <si>
    <t>CPA</t>
  </si>
  <si>
    <t>DappCentre</t>
  </si>
  <si>
    <t>end date შევცვალე (2 კამპანია მქონდა მთლიანობაში)</t>
  </si>
  <si>
    <t>Ricardoc24</t>
  </si>
  <si>
    <t>Valek</t>
  </si>
  <si>
    <t>trimics2</t>
  </si>
  <si>
    <t>bboladin26</t>
  </si>
  <si>
    <t>Mavaads</t>
  </si>
  <si>
    <t>PPC</t>
  </si>
  <si>
    <t>migzparcerias</t>
  </si>
  <si>
    <t>27/06/2026</t>
  </si>
  <si>
    <t>end date შევცვალე</t>
  </si>
  <si>
    <t>MrBooster</t>
  </si>
  <si>
    <t>SharkLink</t>
  </si>
  <si>
    <t>moneturn</t>
  </si>
  <si>
    <t>MightyCasino</t>
  </si>
  <si>
    <t>VALECHOBERK</t>
  </si>
  <si>
    <t>Rayconeta</t>
  </si>
  <si>
    <t>seobroCA</t>
  </si>
  <si>
    <t>ZnakiNL</t>
  </si>
  <si>
    <t>totisuedd</t>
  </si>
  <si>
    <t>Zukwaan</t>
  </si>
  <si>
    <t>vkngaffiliates</t>
  </si>
  <si>
    <t>Tinchogramu</t>
  </si>
  <si>
    <t>soroleto</t>
  </si>
  <si>
    <t>reborced</t>
  </si>
  <si>
    <t>octomediagroup</t>
  </si>
  <si>
    <t>OnePartners</t>
  </si>
  <si>
    <t>SAIDIteam</t>
  </si>
  <si>
    <t>Cybertribe</t>
  </si>
  <si>
    <t>Finished</t>
  </si>
  <si>
    <t>ეს ორ კამპანიად უნდა იყოს ჩაშლილი, და მთლიანობაში 40კ მაქვს გადახდილი და ისევ გრძელდება კამპანია</t>
  </si>
  <si>
    <t>Upshiftmedia</t>
  </si>
  <si>
    <t>kasper12345</t>
  </si>
  <si>
    <t>PlayPartners</t>
  </si>
  <si>
    <t>glcanada</t>
  </si>
  <si>
    <t>Bbasher</t>
  </si>
  <si>
    <t>ongoing კამპანიაა, 7კ რომელიც გადავიხადეთ UFC ისთვის დავამატეთ ამ კამპანიას, 500- ინფლუენსერს დავუმატეთ, 1000 სააგენტოს და 5500 დავამატეთ და 6 სტრიმს გააკეთებს კიდე.</t>
  </si>
  <si>
    <t>clickelevate</t>
  </si>
  <si>
    <t>occc</t>
  </si>
  <si>
    <t>clickid</t>
  </si>
  <si>
    <t>maryturbotraffic</t>
  </si>
  <si>
    <t>fbpromowebteam</t>
  </si>
  <si>
    <t>AcePartners2</t>
  </si>
  <si>
    <t>SaltySpins</t>
  </si>
  <si>
    <t>speedfps1</t>
  </si>
  <si>
    <t>bennyparcerias</t>
  </si>
  <si>
    <t>worldyt</t>
  </si>
  <si>
    <t>jonbossparcerias</t>
  </si>
  <si>
    <t>Ethanx</t>
  </si>
  <si>
    <t>moobslots</t>
  </si>
  <si>
    <t>nightmarevc</t>
  </si>
  <si>
    <t xml:space="preserve">Jan  costs </t>
  </si>
  <si>
    <t>Feb  costs</t>
  </si>
  <si>
    <t>Mar  costs</t>
  </si>
  <si>
    <t>Apr  costs</t>
  </si>
  <si>
    <t xml:space="preserve">May  costs </t>
  </si>
  <si>
    <t>June costs</t>
  </si>
  <si>
    <t>hstjorven</t>
  </si>
  <si>
    <t>streamlinks</t>
  </si>
  <si>
    <t>lucas99mzn</t>
  </si>
  <si>
    <t>Tipster</t>
  </si>
  <si>
    <t>Protipster</t>
  </si>
  <si>
    <t>egamer</t>
  </si>
  <si>
    <t>mediadoro1</t>
  </si>
  <si>
    <t>biglouinthestu</t>
  </si>
  <si>
    <t>Timba</t>
  </si>
  <si>
    <t>Baldu</t>
  </si>
  <si>
    <t>Scammer</t>
  </si>
  <si>
    <t>Emaaslots</t>
  </si>
  <si>
    <t>MasterAffNetwork7640</t>
  </si>
  <si>
    <t>Refunded</t>
  </si>
  <si>
    <t>thelootcompany</t>
  </si>
  <si>
    <t>barkkzzcs</t>
  </si>
  <si>
    <t>tribunadigital</t>
  </si>
  <si>
    <t>MAXXIMTV</t>
  </si>
  <si>
    <t xml:space="preserve">January NGR </t>
  </si>
  <si>
    <t xml:space="preserve"> February NGR</t>
  </si>
  <si>
    <t xml:space="preserve"> March NGR</t>
  </si>
  <si>
    <t>Trafficlab_New</t>
  </si>
  <si>
    <t xml:space="preserve"> April NGR</t>
  </si>
  <si>
    <t xml:space="preserve"> May NGR</t>
  </si>
  <si>
    <t xml:space="preserve"> June NGR</t>
  </si>
  <si>
    <t>Kanadamaxi</t>
  </si>
  <si>
    <t>blexrSBO</t>
  </si>
  <si>
    <t>Naqo</t>
  </si>
  <si>
    <t>YuliaGoats</t>
  </si>
  <si>
    <t>Affilino33</t>
  </si>
  <si>
    <t>GagnoClub</t>
  </si>
  <si>
    <t>Gabostream</t>
  </si>
  <si>
    <t>Xaloslots</t>
  </si>
  <si>
    <t>BojokoCA</t>
  </si>
  <si>
    <t>crazyslotsvip</t>
  </si>
  <si>
    <t>Chicharkick</t>
  </si>
  <si>
    <t>kcvzin</t>
  </si>
  <si>
    <t>Makeberry-CPA</t>
  </si>
  <si>
    <t>depsum1</t>
  </si>
  <si>
    <t>digitalworld</t>
  </si>
  <si>
    <t>Slavstips</t>
  </si>
  <si>
    <t>predicto</t>
  </si>
  <si>
    <t>BetDeveloper</t>
  </si>
  <si>
    <t>Media Buying</t>
  </si>
  <si>
    <t>Rohel7</t>
  </si>
  <si>
    <t>UpUpPartners</t>
  </si>
  <si>
    <t>AnastasiaCybertribe</t>
  </si>
  <si>
    <t>On hold</t>
  </si>
  <si>
    <t>9 სტრიმი აქვს გასაკეთებელი, 1500 ევრო დაგვიკლო ამ სტრიმერის გადახდილი სხვა სტრიმერთან.</t>
  </si>
  <si>
    <t>Tierwulf</t>
  </si>
  <si>
    <t>xmaria25</t>
  </si>
  <si>
    <t>lautaacr</t>
  </si>
  <si>
    <t>punisher</t>
  </si>
  <si>
    <t>Jan FTD</t>
  </si>
  <si>
    <t>Feb FTD</t>
  </si>
  <si>
    <t>Mar FTD</t>
  </si>
  <si>
    <t>Apr FTD</t>
  </si>
  <si>
    <t xml:space="preserve">May FTD </t>
  </si>
  <si>
    <t>North</t>
  </si>
  <si>
    <t xml:space="preserve">June FTD </t>
  </si>
  <si>
    <t>fourreal11</t>
  </si>
  <si>
    <t>bigjuanwins</t>
  </si>
  <si>
    <t>Cybertribe_Zaayko11</t>
  </si>
  <si>
    <t>NORDIC_005_FJ</t>
  </si>
  <si>
    <t>abdelhakmoughit</t>
  </si>
  <si>
    <t>jackBetss</t>
  </si>
  <si>
    <t>BasherNetwork</t>
  </si>
  <si>
    <t>should be deleted</t>
  </si>
  <si>
    <t>fortunejack_SG</t>
  </si>
  <si>
    <t>bookmakersbet</t>
  </si>
  <si>
    <t>eikkak</t>
  </si>
  <si>
    <t>Pikiman</t>
  </si>
  <si>
    <t>Media &amp; Seo</t>
  </si>
  <si>
    <t>Gabi</t>
  </si>
  <si>
    <t>Apuesta2015</t>
  </si>
  <si>
    <t>betcpa</t>
  </si>
  <si>
    <t>LmochTv</t>
  </si>
  <si>
    <t>EeOo</t>
  </si>
  <si>
    <t>Bigode</t>
  </si>
  <si>
    <t>Steezy</t>
  </si>
  <si>
    <t>FInished</t>
  </si>
  <si>
    <t>DADDAS</t>
  </si>
  <si>
    <t>Crslots2</t>
  </si>
  <si>
    <t>LineupSlots</t>
  </si>
  <si>
    <t>naynay</t>
  </si>
  <si>
    <t>Valt4x</t>
  </si>
  <si>
    <t>Affiliated</t>
  </si>
  <si>
    <t>moeticee</t>
  </si>
  <si>
    <t>Luggo25</t>
  </si>
  <si>
    <t>angeloslots</t>
  </si>
  <si>
    <t>TheLaddoo</t>
  </si>
  <si>
    <t xml:space="preserve"> January accrued costs</t>
  </si>
  <si>
    <t xml:space="preserve"> February accrued costs</t>
  </si>
  <si>
    <t xml:space="preserve"> March accrued costs</t>
  </si>
  <si>
    <t xml:space="preserve"> April accrued costs</t>
  </si>
  <si>
    <t xml:space="preserve"> May accrued costs</t>
  </si>
  <si>
    <t>Askbonus</t>
  </si>
  <si>
    <t xml:space="preserve"> June accrued costs</t>
  </si>
  <si>
    <t>Sum of January FTD</t>
  </si>
  <si>
    <t>Sum of February FTD</t>
  </si>
  <si>
    <t>Sum of March FTD</t>
  </si>
  <si>
    <t>Sum of April FTD</t>
  </si>
  <si>
    <t>Sum of May FTD</t>
  </si>
  <si>
    <t>Sum of June FTD</t>
  </si>
  <si>
    <t>JAN CPA</t>
  </si>
  <si>
    <t>FEB CPA</t>
  </si>
  <si>
    <t>MAR CPA</t>
  </si>
  <si>
    <t>APR CPA</t>
  </si>
  <si>
    <t>MAY CPA</t>
  </si>
  <si>
    <t>JUN CPA</t>
  </si>
  <si>
    <t>Kritikoy</t>
  </si>
  <si>
    <t>Ablo_ws</t>
  </si>
  <si>
    <t>TGCD</t>
  </si>
  <si>
    <t>S4rvGambs</t>
  </si>
  <si>
    <t>twizards</t>
  </si>
  <si>
    <t>Arxsy69</t>
  </si>
  <si>
    <t>rksservet05</t>
  </si>
  <si>
    <t>DONZI</t>
  </si>
  <si>
    <t>casinobee</t>
  </si>
  <si>
    <t>Stamk</t>
  </si>
  <si>
    <t>micitv</t>
  </si>
  <si>
    <t>0fedeee22</t>
  </si>
  <si>
    <t>Jan CPA</t>
  </si>
  <si>
    <t>Feb CPA</t>
  </si>
  <si>
    <t>Mar CPA</t>
  </si>
  <si>
    <t>April CPA</t>
  </si>
  <si>
    <t>May CPA</t>
  </si>
  <si>
    <t>June CPA</t>
  </si>
  <si>
    <t>Patoanchaval</t>
  </si>
  <si>
    <t>Faki13</t>
  </si>
  <si>
    <t>onexpertt</t>
  </si>
  <si>
    <t>TheGamblingBuddies</t>
  </si>
  <si>
    <t>akram707</t>
  </si>
  <si>
    <t>xheri</t>
  </si>
  <si>
    <t>chhonaa</t>
  </si>
  <si>
    <t>Kinglegend</t>
  </si>
  <si>
    <t>tonyspinz</t>
  </si>
  <si>
    <t>askgamblers</t>
  </si>
  <si>
    <t>Luddze</t>
  </si>
  <si>
    <t>Cybertribe1</t>
  </si>
  <si>
    <t>HyperEfeStream</t>
  </si>
  <si>
    <t>Cybertribe8</t>
  </si>
  <si>
    <t>20/07/2026</t>
  </si>
  <si>
    <t>28/07/2026</t>
  </si>
  <si>
    <t>betlucktvparcerias</t>
  </si>
  <si>
    <t>apietrak</t>
  </si>
  <si>
    <t>12 სტრიმი დარჩა გასასტრიმი და არც დაუწყია ჯერ</t>
  </si>
  <si>
    <t>Cybertribe4</t>
  </si>
  <si>
    <t>Cybertribe5</t>
  </si>
  <si>
    <t>Cybertribe6</t>
  </si>
  <si>
    <t>n4chobroo</t>
  </si>
  <si>
    <t>15 სტრიმი აქვს გასასტრიმი</t>
  </si>
  <si>
    <t>Cybertribe7</t>
  </si>
  <si>
    <t>Cybertribe_SpinHub</t>
  </si>
  <si>
    <t>21 სტრიმი დარჩა გასაკეთებელი,ამიტომ არ ვიცი როდის დაასრულებს ზუსტად</t>
  </si>
  <si>
    <t>Cybertribe2</t>
  </si>
  <si>
    <t>Cybertribe3</t>
  </si>
  <si>
    <t>Refunded (სხვა სტრიმერისგან დაგვიქვითა)</t>
  </si>
  <si>
    <t>Picoca</t>
  </si>
  <si>
    <t>tonnydun</t>
  </si>
  <si>
    <t>BenitezGambles</t>
  </si>
  <si>
    <t>RollzaOnKICK</t>
  </si>
  <si>
    <t>ამასთან 125$ მაქ გადარიცხული</t>
  </si>
  <si>
    <t>acee</t>
  </si>
  <si>
    <t>Postpayment</t>
  </si>
  <si>
    <t>31/08/2026</t>
  </si>
  <si>
    <t>xhoci</t>
  </si>
  <si>
    <t>Jaxonsol</t>
  </si>
  <si>
    <t>13/08/2026</t>
  </si>
  <si>
    <t>CheesyCheese</t>
  </si>
  <si>
    <t>20/08/2026</t>
  </si>
  <si>
    <t>HermanosMal</t>
  </si>
  <si>
    <t>ggmjnox</t>
  </si>
  <si>
    <t>მეორე ნაწილი გადავუხადე, რადგან შეასრულა KPI</t>
  </si>
  <si>
    <t>barr4k</t>
  </si>
  <si>
    <t>Elene_gh</t>
  </si>
  <si>
    <t>santtisinoca</t>
  </si>
  <si>
    <t>nachhox</t>
  </si>
  <si>
    <t>munz2023</t>
  </si>
  <si>
    <t>glauiii</t>
  </si>
  <si>
    <t>Has not started</t>
  </si>
  <si>
    <t>30/9/2026</t>
  </si>
  <si>
    <t>BasherAgencyUS2</t>
  </si>
  <si>
    <t xml:space="preserve">Has not started </t>
  </si>
  <si>
    <t>Diositx912</t>
  </si>
  <si>
    <t>CracherZ</t>
  </si>
  <si>
    <t>Samwani9</t>
  </si>
  <si>
    <t>brimstonexz</t>
  </si>
  <si>
    <t>umacenanossa</t>
  </si>
  <si>
    <t>Rajat9427</t>
  </si>
  <si>
    <t>dzsan</t>
  </si>
  <si>
    <t>trafficx</t>
  </si>
  <si>
    <t>1navyy</t>
  </si>
  <si>
    <t>Grand Total</t>
  </si>
  <si>
    <t>27.08.2026</t>
  </si>
  <si>
    <t>28.08.2026</t>
  </si>
  <si>
    <t>General SEO</t>
  </si>
  <si>
    <t>General</t>
  </si>
  <si>
    <t>Direct / SEO / General (non-affiliate)</t>
  </si>
  <si>
    <t>Responzible</t>
  </si>
  <si>
    <t>Traffer_Partner</t>
  </si>
  <si>
    <t>SAcasinorix</t>
  </si>
  <si>
    <t>05.07.2026</t>
  </si>
  <si>
    <t>05.08.2026</t>
  </si>
  <si>
    <t>casaslots</t>
  </si>
  <si>
    <t>INFLUENCE CPA</t>
  </si>
  <si>
    <t xml:space="preserve"> January FTD</t>
  </si>
  <si>
    <t xml:space="preserve"> February FTD</t>
  </si>
  <si>
    <t xml:space="preserve"> March FTD</t>
  </si>
  <si>
    <t xml:space="preserve"> April FTD</t>
  </si>
  <si>
    <t xml:space="preserve"> May FTD</t>
  </si>
  <si>
    <t xml:space="preserve"> June FTD</t>
  </si>
  <si>
    <t xml:space="preserve"> January CPA</t>
  </si>
  <si>
    <t xml:space="preserve"> February CPA</t>
  </si>
  <si>
    <t xml:space="preserve"> March CPA</t>
  </si>
  <si>
    <t xml:space="preserve"> April CPA</t>
  </si>
  <si>
    <t xml:space="preserve"> May CPA</t>
  </si>
  <si>
    <t xml:space="preserve"> June CPA</t>
  </si>
  <si>
    <t>Apr CPA</t>
  </si>
  <si>
    <t xml:space="preserve">June costs </t>
  </si>
  <si>
    <t>playslotpartners</t>
  </si>
  <si>
    <t>Row Labels</t>
  </si>
  <si>
    <t>Ramaz_G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</si>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</sst>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€]#,##0"/>
    <numFmt numFmtId="165" formatCode="_(* #,##0_);_(* \(#,##0\);_(* &quot;-&quot;??_);_(@_)"/>
    <numFmt numFmtId="166" formatCode="[$€]#,##0.00"/>
    <numFmt numFmtId="167" formatCode="#,##0.00_ ;[Red]\-#,##0.00;\-"/>
    <numFmt numFmtId="168" formatCode="#,##0&quot;$&quot;"/>
    <numFmt numFmtId="169" formatCode="m/d/yyyy"/>
    <numFmt numFmtId="170" formatCode="mm/dd/yyyy"/>
    <numFmt numFmtId="171" formatCode="0.0"/>
  </numFmts>
  <fonts count="19">
    <font>
      <sz val="11.0"/>
      <color theme="1"/>
      <name val="Calibri"/>
      <scheme val="minor"/>
    </font>
    <font>
      <b/>
      <sz val="9.0"/>
      <color rgb="FF000000"/>
      <name val="Calibri"/>
    </font>
    <font>
      <b/>
      <sz val="12.0"/>
      <color theme="1"/>
      <name val="Merriweather"/>
    </font>
    <font>
      <sz val="9.0"/>
      <color rgb="FF000000"/>
      <name val="Calibri"/>
    </font>
    <font>
      <sz val="12.0"/>
      <color theme="1"/>
      <name val="Merriweather"/>
    </font>
    <font>
      <b/>
      <sz val="11.0"/>
      <color rgb="FFFFFFFF"/>
      <name val="Arial"/>
    </font>
    <font>
      <sz val="12.0"/>
      <color rgb="FF000000"/>
      <name val="Merriweather"/>
    </font>
    <font>
      <b/>
      <color rgb="FF1E2838"/>
      <name val="Arial"/>
    </font>
    <font>
      <sz val="12.0"/>
      <color theme="1"/>
      <name val="Calibri"/>
    </font>
    <font>
      <b/>
      <sz val="11.0"/>
      <color rgb="FFFFFFFF"/>
      <name val="Calibri"/>
    </font>
    <font>
      <color rgb="FF1E2838"/>
      <name val="Arial"/>
    </font>
    <font>
      <sz val="11.0"/>
      <color theme="1"/>
      <name val="Calibri"/>
    </font>
    <font>
      <sz val="11.0"/>
      <color theme="1"/>
      <name val="Merriweather"/>
    </font>
    <font>
      <color theme="1"/>
      <name val="Calibri"/>
    </font>
    <font>
      <color theme="1"/>
      <name val="Calibri"/>
      <scheme val="minor"/>
    </font>
    <font>
      <sz val="12.0"/>
      <color rgb="FF000000"/>
      <name val="Sylfaen"/>
    </font>
    <font>
      <sz val="12.0"/>
      <color rgb="FF000000"/>
      <name val="&quot;Aptos Narrow&quot;"/>
    </font>
    <font>
      <sz val="12.0"/>
      <color rgb="FF000000"/>
      <name val="Arial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AEDF1"/>
        <bgColor rgb="FFEAEDF1"/>
      </patternFill>
    </fill>
    <fill>
      <patternFill patternType="solid">
        <fgColor rgb="FF44546B"/>
        <bgColor rgb="FF44546B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E8F2F9"/>
        <bgColor rgb="FFE8F2F9"/>
      </patternFill>
    </fill>
    <fill>
      <patternFill patternType="solid">
        <fgColor rgb="FFFFFFFF"/>
        <bgColor rgb="FFFFFFFF"/>
      </patternFill>
    </fill>
    <fill>
      <patternFill patternType="solid">
        <fgColor rgb="FFE5E8EF"/>
        <bgColor rgb="FFE5E8EF"/>
      </patternFill>
    </fill>
    <fill>
      <patternFill patternType="solid">
        <fgColor rgb="FF00FF00"/>
        <bgColor rgb="FF00FF00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BCC4D1"/>
      </left>
      <right style="thin">
        <color rgb="FFEDEFF4"/>
      </right>
      <top style="thin">
        <color rgb="FFBCC4D1"/>
      </top>
      <bottom style="thin">
        <color rgb="FFE0E2EA"/>
      </bottom>
    </border>
    <border>
      <left style="thin">
        <color rgb="FFEDEFF4"/>
      </left>
      <right style="thin">
        <color rgb="FFEDEFF4"/>
      </right>
      <top style="thin">
        <color rgb="FFBCC4D1"/>
      </top>
      <bottom style="thin">
        <color rgb="FFE0E2EA"/>
      </bottom>
    </border>
    <border>
      <left style="thin">
        <color rgb="FF000000"/>
      </left>
      <right style="thin">
        <color rgb="FF000000"/>
      </right>
    </border>
    <border>
      <left style="thin">
        <color rgb="FFBCC4D1"/>
      </left>
      <right style="thin">
        <color rgb="FFEDEFF4"/>
      </right>
      <top style="thin">
        <color rgb="FFE0E2EA"/>
      </top>
      <bottom style="thin">
        <color rgb="FFE0E2EA"/>
      </bottom>
    </border>
    <border>
      <left style="thin">
        <color rgb="FFEDEFF4"/>
      </left>
      <right style="thin">
        <color rgb="FFEDEFF4"/>
      </right>
      <top style="thin">
        <color rgb="FFE0E2EA"/>
      </top>
      <bottom style="thin">
        <color rgb="FFE0E2EA"/>
      </bottom>
    </border>
    <border>
      <left/>
      <right/>
      <top/>
      <bottom/>
    </border>
    <border>
      <left style="thin">
        <color rgb="FFBCC4D1"/>
      </left>
      <right style="thin">
        <color rgb="FFEDEFF4"/>
      </right>
      <top style="thin">
        <color rgb="FFE0E2EA"/>
      </top>
      <bottom style="thin">
        <color rgb="FFBCC4D1"/>
      </bottom>
    </border>
    <border>
      <left style="thin">
        <color rgb="FFEDEFF4"/>
      </left>
      <right style="thin">
        <color rgb="FFEDEFF4"/>
      </right>
      <top style="thin">
        <color rgb="FFE0E2EA"/>
      </top>
      <bottom style="thin">
        <color rgb="FFBCC4D1"/>
      </bottom>
    </border>
    <border>
      <left style="thin">
        <color rgb="FFA6A6A6"/>
      </left>
      <right style="thin">
        <color rgb="FFA6A6A6"/>
      </right>
    </border>
    <border>
      <left/>
      <right/>
      <top style="thin">
        <color rgb="FF9CC2E5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2" fillId="2" fontId="2" numFmtId="0" xfId="0" applyAlignment="1" applyBorder="1" applyFill="1" applyFont="1">
      <alignment horizontal="left" vertical="center"/>
    </xf>
    <xf borderId="4" fillId="2" fontId="2" numFmtId="0" xfId="0" applyAlignment="1" applyBorder="1" applyFill="1" applyFont="1">
      <alignment horizontal="center" vertical="center"/>
    </xf>
    <xf borderId="0" fillId="0" fontId="4" numFmtId="0" xfId="0" applyFont="1"/>
    <xf borderId="5" fillId="3" fontId="5" numFmtId="0" xfId="0" applyAlignment="1" applyBorder="1" applyFill="1" applyFont="1">
      <alignment shrinkToFit="0" wrapText="1"/>
    </xf>
    <xf borderId="2" fillId="0" fontId="4" numFmtId="0" xfId="0" applyBorder="1" applyFont="1"/>
    <xf borderId="2" fillId="0" fontId="6" numFmtId="14" xfId="0" applyAlignment="1" applyBorder="1" applyFont="1" applyNumberFormat="1">
      <alignment horizontal="center"/>
    </xf>
    <xf borderId="6" fillId="3" fontId="5" numFmtId="0" xfId="0" applyAlignment="1" applyBorder="1" applyFill="1" applyFont="1">
      <alignment horizontal="center" shrinkToFit="0" wrapText="1"/>
    </xf>
    <xf borderId="2" fillId="0" fontId="6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7" fillId="0" fontId="4" numFmtId="0" xfId="0" applyBorder="1" applyFont="1"/>
    <xf borderId="7" fillId="0" fontId="6" numFmtId="14" xfId="0" applyAlignment="1" applyBorder="1" applyFont="1" applyNumberFormat="1">
      <alignment horizontal="center"/>
    </xf>
    <xf borderId="8" fillId="0" fontId="7" numFmtId="0" xfId="0" applyBorder="1" applyFont="1"/>
    <xf borderId="9" fillId="0" fontId="8" numFmtId="164" xfId="0" applyBorder="1" applyFont="1" applyNumberFormat="1"/>
    <xf borderId="2" fillId="4" fontId="9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4" fillId="4" fontId="9" numFmtId="0" xfId="0" applyAlignment="1" applyBorder="1" applyFill="1" applyFont="1">
      <alignment horizontal="center" shrinkToFit="0" vertical="center" wrapText="1"/>
    </xf>
    <xf borderId="9" fillId="0" fontId="10" numFmtId="164" xfId="0" applyAlignment="1" applyBorder="1" applyFont="1" applyNumberFormat="1">
      <alignment horizontal="right"/>
    </xf>
    <xf borderId="10" fillId="4" fontId="9" numFmtId="0" xfId="0" applyAlignment="1" applyBorder="1" applyFill="1" applyFont="1">
      <alignment horizontal="center" shrinkToFit="0" vertical="center" wrapText="1"/>
    </xf>
    <xf borderId="0" fillId="0" fontId="11" numFmtId="165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0" xfId="0" applyFont="1"/>
    <xf borderId="10" fillId="5" fontId="11" numFmtId="0" xfId="0" applyBorder="1" applyFill="1" applyFont="1"/>
    <xf borderId="9" fillId="6" fontId="7" numFmtId="166" xfId="0" applyAlignment="1" applyBorder="1" applyFill="1" applyFont="1" applyNumberFormat="1">
      <alignment horizontal="right"/>
    </xf>
    <xf borderId="0" fillId="0" fontId="11" numFmtId="165" xfId="0" applyFont="1" applyNumberFormat="1"/>
    <xf borderId="2" fillId="0" fontId="4" numFmtId="0" xfId="0" applyAlignment="1" applyBorder="1" applyFont="1">
      <alignment horizontal="left" vertical="center"/>
    </xf>
    <xf borderId="2" fillId="5" fontId="6" numFmtId="3" xfId="0" applyAlignment="1" applyBorder="1" applyFill="1" applyFont="1" applyNumberFormat="1">
      <alignment horizontal="center"/>
    </xf>
    <xf borderId="2" fillId="0" fontId="12" numFmtId="0" xfId="0" applyBorder="1" applyFont="1"/>
    <xf borderId="2" fillId="0" fontId="6" numFmtId="3" xfId="0" applyAlignment="1" applyBorder="1" applyFont="1" applyNumberFormat="1">
      <alignment horizontal="center"/>
    </xf>
    <xf borderId="2" fillId="0" fontId="4" numFmtId="14" xfId="0" applyAlignment="1" applyBorder="1" applyFont="1" applyNumberFormat="1">
      <alignment horizontal="center" vertical="center"/>
    </xf>
    <xf borderId="2" fillId="5" fontId="4" numFmtId="0" xfId="0" applyAlignment="1" applyBorder="1" applyFill="1" applyFont="1">
      <alignment horizontal="left" vertical="center"/>
    </xf>
    <xf borderId="2" fillId="0" fontId="4" numFmtId="167" xfId="0" applyAlignment="1" applyBorder="1" applyFont="1" applyNumberFormat="1">
      <alignment horizontal="center"/>
    </xf>
    <xf borderId="2" fillId="5" fontId="4" numFmtId="0" xfId="0" applyBorder="1" applyFill="1" applyFont="1"/>
    <xf borderId="0" fillId="7" fontId="4" numFmtId="0" xfId="0" applyFill="1" applyFont="1"/>
    <xf borderId="2" fillId="7" fontId="4" numFmtId="0" xfId="0" applyAlignment="1" applyBorder="1" applyFill="1" applyFont="1">
      <alignment horizontal="left" vertical="center"/>
    </xf>
    <xf borderId="11" fillId="8" fontId="7" numFmtId="0" xfId="0" applyBorder="1" applyFill="1" applyFont="1"/>
    <xf borderId="2" fillId="7" fontId="4" numFmtId="0" xfId="0" applyBorder="1" applyFill="1" applyFont="1"/>
    <xf borderId="0" fillId="0" fontId="4" numFmtId="0" xfId="0" applyAlignment="1" applyFont="1">
      <alignment horizontal="left"/>
    </xf>
    <xf borderId="12" fillId="8" fontId="7" numFmtId="164" xfId="0" applyAlignment="1" applyBorder="1" applyFill="1" applyFont="1" applyNumberFormat="1">
      <alignment horizontal="right"/>
    </xf>
    <xf borderId="2" fillId="9" fontId="4" numFmtId="0" xfId="0" applyBorder="1" applyFill="1" applyFont="1"/>
    <xf borderId="2" fillId="0" fontId="11" numFmtId="4" xfId="0" applyBorder="1" applyFont="1" applyNumberFormat="1"/>
    <xf borderId="12" fillId="8" fontId="7" numFmtId="166" xfId="0" applyAlignment="1" applyBorder="1" applyFill="1" applyFont="1" applyNumberFormat="1">
      <alignment horizontal="right"/>
    </xf>
    <xf borderId="2" fillId="7" fontId="4" numFmtId="14" xfId="0" applyAlignment="1" applyBorder="1" applyFill="1" applyFont="1" applyNumberForma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7" fontId="4" numFmtId="167" xfId="0" applyAlignment="1" applyBorder="1" applyFill="1" applyFont="1" applyNumberFormat="1">
      <alignment horizontal="center"/>
    </xf>
    <xf borderId="2" fillId="0" fontId="4" numFmtId="0" xfId="0" applyAlignment="1" applyBorder="1" applyFont="1">
      <alignment readingOrder="0"/>
    </xf>
    <xf borderId="0" fillId="0" fontId="13" numFmtId="0" xfId="0" applyFont="1"/>
    <xf borderId="2" fillId="0" fontId="4" numFmtId="167" xfId="0" applyAlignment="1" applyBorder="1" applyFont="1" applyNumberFormat="1">
      <alignment horizontal="center" readingOrder="0"/>
    </xf>
    <xf borderId="2" fillId="0" fontId="6" numFmtId="14" xfId="0" applyAlignment="1" applyBorder="1" applyFont="1" applyNumberFormat="1">
      <alignment horizontal="center" readingOrder="0"/>
    </xf>
    <xf borderId="2" fillId="0" fontId="4" numFmtId="14" xfId="0" applyAlignment="1" applyBorder="1" applyFont="1" applyNumberFormat="1">
      <alignment horizontal="center" readingOrder="0" vertical="center"/>
    </xf>
    <xf borderId="2" fillId="5" fontId="4" numFmtId="167" xfId="0" applyAlignment="1" applyBorder="1" applyFill="1" applyFont="1" applyNumberFormat="1">
      <alignment horizontal="center"/>
    </xf>
    <xf borderId="0" fillId="7" fontId="4" numFmtId="168" xfId="0" applyFill="1" applyFont="1" applyNumberFormat="1"/>
    <xf borderId="0" fillId="0" fontId="14" numFmtId="0" xfId="0" applyFont="1"/>
    <xf borderId="10" fillId="10" fontId="11" numFmtId="165" xfId="0" applyAlignment="1" applyBorder="1" applyFill="1" applyFont="1" applyNumberFormat="1">
      <alignment horizontal="center"/>
    </xf>
    <xf borderId="2" fillId="0" fontId="4" numFmtId="165" xfId="0" applyBorder="1" applyFont="1" applyNumberFormat="1"/>
    <xf borderId="2" fillId="0" fontId="4" numFmtId="14" xfId="0" applyBorder="1" applyFont="1" applyNumberFormat="1"/>
    <xf borderId="2" fillId="0" fontId="4" numFmtId="167" xfId="0" applyBorder="1" applyFont="1" applyNumberFormat="1"/>
    <xf borderId="2" fillId="0" fontId="4" numFmtId="165" xfId="0" applyAlignment="1" applyBorder="1" applyFont="1" applyNumberFormat="1">
      <alignment readingOrder="0"/>
    </xf>
    <xf borderId="2" fillId="0" fontId="4" numFmtId="0" xfId="0" applyAlignment="1" applyBorder="1" applyFont="1">
      <alignment horizontal="center"/>
    </xf>
    <xf borderId="0" fillId="0" fontId="15" numFmtId="165" xfId="0" applyAlignment="1" applyFont="1" applyNumberFormat="1">
      <alignment horizontal="center" readingOrder="0" shrinkToFit="0" vertical="bottom" wrapText="0"/>
    </xf>
    <xf borderId="2" fillId="9" fontId="4" numFmtId="14" xfId="0" applyBorder="1" applyFill="1" applyFont="1" applyNumberFormat="1"/>
    <xf borderId="2" fillId="9" fontId="4" numFmtId="0" xfId="0" applyAlignment="1" applyBorder="1" applyFill="1" applyFont="1">
      <alignment horizontal="left"/>
    </xf>
    <xf borderId="2" fillId="9" fontId="4" numFmtId="14" xfId="0" applyAlignment="1" applyBorder="1" applyFill="1" applyFont="1" applyNumberFormat="1">
      <alignment horizontal="center" vertical="center"/>
    </xf>
    <xf borderId="2" fillId="9" fontId="4" numFmtId="169" xfId="0" applyAlignment="1" applyBorder="1" applyFill="1" applyFont="1" applyNumberFormat="1">
      <alignment horizontal="center"/>
    </xf>
    <xf borderId="0" fillId="9" fontId="4" numFmtId="0" xfId="0" applyFill="1" applyFont="1"/>
    <xf borderId="0" fillId="0" fontId="4" numFmtId="4" xfId="0" applyFont="1" applyNumberFormat="1"/>
    <xf borderId="0" fillId="0" fontId="11" numFmtId="4" xfId="0" applyFont="1" applyNumberFormat="1"/>
    <xf borderId="2" fillId="0" fontId="6" numFmtId="167" xfId="0" applyAlignment="1" applyBorder="1" applyFont="1" applyNumberFormat="1">
      <alignment horizontal="center"/>
    </xf>
    <xf borderId="2" fillId="0" fontId="16" numFmtId="0" xfId="0" applyAlignment="1" applyBorder="1" applyFont="1">
      <alignment horizontal="center" shrinkToFit="0" wrapText="0"/>
    </xf>
    <xf borderId="2" fillId="0" fontId="4" numFmtId="169" xfId="0" applyBorder="1" applyFont="1" applyNumberFormat="1"/>
    <xf borderId="2" fillId="11" fontId="4" numFmtId="0" xfId="0" applyBorder="1" applyFill="1" applyFont="1"/>
    <xf borderId="2" fillId="0" fontId="17" numFmtId="0" xfId="0" applyAlignment="1" applyBorder="1" applyFont="1">
      <alignment horizontal="center" shrinkToFit="0" wrapText="0"/>
    </xf>
    <xf borderId="2" fillId="0" fontId="4" numFmtId="169" xfId="0" applyAlignment="1" applyBorder="1" applyFont="1" applyNumberFormat="1">
      <alignment readingOrder="0"/>
    </xf>
    <xf borderId="2" fillId="0" fontId="4" numFmtId="170" xfId="0" applyBorder="1" applyFont="1" applyNumberFormat="1"/>
    <xf borderId="10" fillId="5" fontId="11" numFmtId="165" xfId="0" applyBorder="1" applyFill="1" applyFont="1" applyNumberFormat="1"/>
    <xf borderId="2" fillId="0" fontId="4" numFmtId="14" xfId="0" applyAlignment="1" applyBorder="1" applyFont="1" applyNumberFormat="1">
      <alignment readingOrder="0"/>
    </xf>
    <xf borderId="0" fillId="0" fontId="14" numFmtId="4" xfId="0" applyFont="1" applyNumberFormat="1"/>
    <xf borderId="2" fillId="0" fontId="4" numFmtId="4" xfId="0" applyBorder="1" applyFont="1" applyNumberFormat="1"/>
    <xf borderId="0" fillId="0" fontId="4" numFmtId="170" xfId="0" applyFont="1" applyNumberFormat="1"/>
    <xf borderId="0" fillId="0" fontId="4" numFmtId="169" xfId="0" applyFont="1" applyNumberFormat="1"/>
    <xf borderId="13" fillId="9" fontId="4" numFmtId="0" xfId="0" applyBorder="1" applyFill="1" applyFont="1"/>
    <xf borderId="0" fillId="9" fontId="4" numFmtId="14" xfId="0" applyFill="1" applyFont="1" applyNumberFormat="1"/>
    <xf borderId="0" fillId="9" fontId="4" numFmtId="0" xfId="0" applyAlignment="1" applyFill="1" applyFont="1">
      <alignment horizontal="left"/>
    </xf>
    <xf borderId="13" fillId="0" fontId="4" numFmtId="0" xfId="0" applyBorder="1" applyFont="1"/>
    <xf borderId="0" fillId="0" fontId="4" numFmtId="14" xfId="0" applyFont="1" applyNumberFormat="1"/>
    <xf borderId="13" fillId="0" fontId="16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11" fontId="4" numFmtId="0" xfId="0" applyFill="1" applyFont="1"/>
    <xf borderId="0" fillId="0" fontId="4" numFmtId="169" xfId="0" applyAlignment="1" applyFont="1" applyNumberFormat="1">
      <alignment horizontal="center"/>
    </xf>
    <xf borderId="0" fillId="0" fontId="4" numFmtId="170" xfId="0" applyAlignment="1" applyFont="1" applyNumberFormat="1">
      <alignment horizontal="center"/>
    </xf>
    <xf borderId="13" fillId="0" fontId="16" numFmtId="169" xfId="0" applyAlignment="1" applyBorder="1" applyFont="1" applyNumberFormat="1">
      <alignment horizontal="center" shrinkToFit="0" wrapText="0"/>
    </xf>
    <xf borderId="13" fillId="0" fontId="6" numFmtId="0" xfId="0" applyAlignment="1" applyBorder="1" applyFont="1">
      <alignment horizontal="center" shrinkToFit="0" wrapText="0"/>
    </xf>
    <xf borderId="13" fillId="0" fontId="6" numFmtId="4" xfId="0" applyAlignment="1" applyBorder="1" applyFont="1" applyNumberFormat="1">
      <alignment horizontal="center" shrinkToFit="0" vertical="bottom" wrapText="0"/>
    </xf>
    <xf borderId="13" fillId="0" fontId="17" numFmtId="0" xfId="0" applyAlignment="1" applyBorder="1" applyFont="1">
      <alignment horizontal="center" shrinkToFit="0" wrapText="0"/>
    </xf>
    <xf borderId="13" fillId="0" fontId="6" numFmtId="0" xfId="0" applyAlignment="1" applyBorder="1" applyFont="1">
      <alignment horizontal="center" shrinkToFit="0" vertical="bottom" wrapText="0"/>
    </xf>
    <xf borderId="13" fillId="11" fontId="6" numFmtId="4" xfId="0" applyAlignment="1" applyBorder="1" applyFill="1" applyFont="1" applyNumberFormat="1">
      <alignment horizontal="center" shrinkToFit="0" vertical="bottom" wrapText="0"/>
    </xf>
    <xf borderId="13" fillId="0" fontId="16" numFmtId="169" xfId="0" applyAlignment="1" applyBorder="1" applyFont="1" applyNumberFormat="1">
      <alignment horizontal="center" readingOrder="0" shrinkToFit="0" wrapText="0"/>
    </xf>
    <xf borderId="13" fillId="0" fontId="6" numFmtId="0" xfId="0" applyAlignment="1" applyBorder="1" applyFont="1">
      <alignment horizontal="center" readingOrder="0" shrinkToFit="0" vertical="bottom" wrapText="0"/>
    </xf>
    <xf borderId="13" fillId="0" fontId="17" numFmtId="169" xfId="0" applyAlignment="1" applyBorder="1" applyFont="1" applyNumberFormat="1">
      <alignment horizontal="center" shrinkToFit="0" wrapText="0"/>
    </xf>
    <xf borderId="14" fillId="12" fontId="18" numFmtId="165" xfId="0" applyAlignment="1" applyBorder="1" applyFill="1" applyFont="1" applyNumberFormat="1">
      <alignment horizontal="center"/>
    </xf>
    <xf borderId="13" fillId="0" fontId="6" numFmtId="4" xfId="0" applyAlignment="1" applyBorder="1" applyFont="1" applyNumberFormat="1">
      <alignment horizontal="center" readingOrder="0" shrinkToFit="0" vertical="bottom" wrapText="0"/>
    </xf>
    <xf borderId="0" fillId="0" fontId="4" numFmtId="169" xfId="0" applyAlignment="1" applyFont="1" applyNumberFormat="1">
      <alignment readingOrder="0"/>
    </xf>
    <xf borderId="13" fillId="0" fontId="17" numFmtId="169" xfId="0" applyAlignment="1" applyBorder="1" applyFont="1" applyNumberFormat="1">
      <alignment horizontal="center" readingOrder="0" shrinkToFit="0" wrapText="0"/>
    </xf>
    <xf borderId="13" fillId="0" fontId="6" numFmtId="0" xfId="0" applyAlignment="1" applyBorder="1" applyFont="1">
      <alignment horizontal="center" readingOrder="0" shrinkToFit="0" wrapText="0"/>
    </xf>
    <xf borderId="13" fillId="0" fontId="17" numFmtId="0" xfId="0" applyAlignment="1" applyBorder="1" applyFont="1">
      <alignment horizontal="center" readingOrder="0" shrinkToFit="0" wrapText="0"/>
    </xf>
    <xf borderId="0" fillId="0" fontId="11" numFmtId="171" xfId="0" applyFont="1" applyNumberFormat="1"/>
    <xf borderId="10" fillId="10" fontId="18" numFmtId="165" xfId="0" applyAlignment="1" applyBorder="1" applyFill="1" applyFont="1" applyNumberFormat="1">
      <alignment horizontal="center"/>
    </xf>
    <xf borderId="2" fillId="0" fontId="6" numFmtId="165" xfId="0" applyAlignment="1" applyBorder="1" applyFont="1" applyNumberFormat="1">
      <alignment horizontal="center"/>
    </xf>
    <xf borderId="15" fillId="0" fontId="6" numFmtId="0" xfId="0" applyAlignment="1" applyBorder="1" applyFont="1">
      <alignment horizontal="center"/>
    </xf>
    <xf borderId="15" fillId="0" fontId="4" numFmtId="0" xfId="0" applyAlignment="1" applyBorder="1" applyFont="1">
      <alignment horizontal="left"/>
    </xf>
    <xf borderId="15" fillId="0" fontId="6" numFmtId="14" xfId="0" applyAlignment="1" applyBorder="1" applyFont="1" applyNumberFormat="1">
      <alignment horizontal="center"/>
    </xf>
    <xf borderId="15" fillId="0" fontId="6" numFmtId="165" xfId="0" applyAlignment="1" applyBorder="1" applyFont="1" applyNumberFormat="1">
      <alignment horizontal="center"/>
    </xf>
    <xf borderId="15" fillId="0" fontId="12" numFmtId="0" xfId="0" applyBorder="1" applyFont="1"/>
    <xf borderId="0" fillId="0" fontId="12" numFmtId="0" xfId="0" applyFont="1"/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41" sheet="Data Accrued"/>
  </cacheSource>
  <cacheFields>
    <cacheField name="Affiliate Name" numFmtId="0">
      <sharedItems>
        <s v="BestCryptoCasino"/>
        <s v="SBGC"/>
        <s v="Coincodex"/>
        <s v="toprangemain"/>
        <s v="profithunters"/>
        <s v="Firelink"/>
        <s v="rocketlink"/>
        <s v="bwisemedia"/>
        <s v="andriiparfenov1"/>
        <s v="DappCentre"/>
        <s v="Ricardoc24"/>
        <s v="Valek"/>
        <s v="trimics2"/>
        <s v="bboladin26"/>
        <s v="Mavaads"/>
        <s v="migzparcerias"/>
        <s v="MrBooster"/>
        <e v="#REF!"/>
        <s v="SharkLink"/>
        <s v="moneturn"/>
        <s v="MightyCasino"/>
        <s v="VALECHOBERK"/>
        <s v="Rayconeta"/>
        <s v="seobroCA"/>
        <s v="ZnakiNL"/>
        <s v="totisuedd"/>
        <s v="Zukwaan"/>
        <s v="vkngaffiliates"/>
        <s v="Tinchogramu"/>
        <s v="soroleto"/>
        <s v="reborced"/>
        <s v="octomediagroup"/>
        <s v="OnePartners"/>
        <s v="SAIDIteam"/>
        <s v="Cybertribe"/>
        <s v="Upshiftmedia"/>
        <s v="kasper12345"/>
        <s v="PlayPartners"/>
        <s v="glcanada"/>
        <s v="Bbasher"/>
        <s v="clickelevate"/>
        <s v="occc"/>
        <s v="clickid"/>
        <s v="maryturbotraffic"/>
        <s v="fbpromowebteam"/>
        <s v="AcePartners2"/>
        <s v="SaltySpins"/>
        <s v="speedfps1"/>
        <s v="bennyparcerias"/>
        <s v="worldyt"/>
        <s v="jonbossparcerias"/>
        <s v="Ethanx"/>
        <s v="moobslots"/>
        <s v="nightmarevc"/>
        <s v="hstjorven"/>
        <s v="streamlinks"/>
        <s v="lucas99mzn"/>
        <s v="Protipster"/>
        <s v="egamer"/>
        <s v="mediadoro1"/>
        <s v="biglouinthestu"/>
        <s v="Timba"/>
        <s v="Baldu"/>
        <s v="Emaaslots"/>
        <s v="MasterAffNetwork7640"/>
        <s v="thelootcompany"/>
        <s v="barkkzzcs"/>
        <s v="tribunadigital"/>
        <s v="MAXXIMTV"/>
        <s v="Trafficlab_New"/>
        <s v="Kanadamaxi"/>
        <s v="blexrSBO"/>
        <s v="Naqo"/>
        <s v="YuliaGoats"/>
        <s v="Affilino33"/>
        <s v="GagnoClub"/>
        <s v="Gabostream"/>
        <s v="Xaloslots"/>
        <s v="BojokoCA"/>
        <s v="crazyslotsvip"/>
        <s v="Chicharkick"/>
        <s v="kcvzin"/>
        <s v="Makeberry-CPA"/>
        <s v="depsum1"/>
        <s v="digitalworld"/>
        <s v="Slavstips"/>
        <s v="predicto"/>
        <s v="BetDeveloper"/>
        <s v="Media"/>
        <s v="Rohel7"/>
        <s v="UpUpPartners"/>
        <s v="AnastasiaCybertribe"/>
        <s v="Tierwulf"/>
        <s v="xmaria25"/>
        <s v="lautaacr"/>
        <s v="punisher"/>
        <s v="North"/>
        <s v="fourreal11"/>
        <s v="bigjuanwins"/>
        <s v="Cybertribe_Zaayko11"/>
        <s v="NORDIC_005_FJ"/>
      </sharedItems>
    </cacheField>
    <cacheField name="Date">
      <sharedItems containsDate="1" containsMixedTypes="1">
        <d v="2026-01-16T00:00:00Z"/>
        <d v="2026-01-31T00:00:00Z"/>
        <d v="2026-02-24T00:00:00Z"/>
        <d v="2026-02-28T00:00:00Z"/>
        <d v="2026-03-01T00:00:00Z"/>
        <d v="2026-03-04T00:00:00Z"/>
        <d v="2026-03-10T00:00:00Z"/>
        <d v="2026-03-12T00:00:00Z"/>
        <d v="2026-03-13T00:00:00Z"/>
        <d v="2026-03-17T00:00:00Z"/>
        <d v="2026-03-18T00:00:00Z"/>
        <d v="2026-03-19T00:00:00Z"/>
        <e v="#REF!"/>
        <d v="2026-03-24T00:00:00Z"/>
        <d v="2026-03-25T00:00:00Z"/>
        <d v="2026-03-27T00:00:00Z"/>
        <d v="2026-04-07T00:00:00Z"/>
        <d v="2026-04-08T00:00:00Z"/>
        <d v="2026-04-10T00:00:00Z"/>
        <d v="2026-04-16T00:00:00Z"/>
        <d v="2026-04-17T00:00:00Z"/>
        <d v="2026-04-23T00:00:00Z"/>
        <d v="2026-04-24T00:00:00Z"/>
        <d v="2026-04-27T00:00:00Z"/>
        <d v="2026-06-01T00:00:00Z"/>
        <d v="2026-04-29T00:00:00Z"/>
        <d v="2026-04-30T00:00:00Z"/>
        <d v="2026-05-01T00:00:00Z"/>
        <d v="2026-05-05T00:00:00Z"/>
        <d v="2026-05-06T00:00:00Z"/>
        <d v="2026-05-07T00:00:00Z"/>
        <d v="2026-05-08T00:00:00Z"/>
        <d v="2026-05-11T00:00:00Z"/>
        <d v="2026-05-14T00:00:00Z"/>
        <d v="2026-05-15T00:00:00Z"/>
        <d v="2026-05-27T00:00:00Z"/>
        <d v="2026-06-02T00:00:00Z"/>
        <d v="2026-06-03T00:00:00Z"/>
        <d v="2026-06-04T00:00:00Z"/>
        <d v="2026-06-08T00:00:00Z"/>
        <d v="2026-06-09T00:00:00Z"/>
        <d v="2026-06-10T00:00:00Z"/>
        <d v="2026-06-11T00:00:00Z"/>
        <d v="2026-06-12T00:00:00Z"/>
        <d v="2026-06-15T00:00:00Z"/>
        <d v="2026-06-16T00:00:00Z"/>
        <d v="2026-06-17T00:00:00Z"/>
        <d v="2026-06-18T00:00:00Z"/>
        <d v="2026-01-01T00:00:00Z"/>
        <d v="2026-02-01T00:00:00Z"/>
        <d v="2026-04-01T00:00:00Z"/>
        <d v="2026-06-19T00:00:00Z"/>
        <d v="2026-06-22T00:00:00Z"/>
        <d v="2026-06-24T00:00:00Z"/>
        <d v="2026-06-25T00:00:00Z"/>
        <d v="2026-06-26T00:00:00Z"/>
      </sharedItems>
    </cacheField>
    <cacheField name="Deal Type" numFmtId="0">
      <sharedItems>
        <s v="Listing"/>
        <s v="Fixed"/>
        <s v="CPA"/>
        <e v="#REF!"/>
        <s v="Media Buying"/>
      </sharedItems>
    </cacheField>
    <cacheField name="affiliate name2" numFmtId="0">
      <sharedItems>
        <s v="BestCryptoCasino"/>
        <s v="SBGC"/>
        <s v="Coincodex"/>
        <s v="toprangemain"/>
        <s v="profithunters"/>
        <s v="Firelink"/>
        <s v="rocketlink"/>
        <s v="bwisemedia"/>
        <s v="andriiparfenov1"/>
        <s v="DappCentre"/>
        <s v="Ricardoc24"/>
        <s v="Valek"/>
        <s v="trimics2"/>
        <s v="bboladin26"/>
        <s v="Mavaads"/>
        <s v="migzparcerias"/>
        <s v="MrBooster"/>
        <e v="#REF!"/>
        <s v="SharkLink"/>
        <s v="moneturn"/>
        <s v="MightyCasino"/>
        <s v="VALECHOBERK"/>
        <s v="Rayconeta"/>
        <s v="seobroCA"/>
        <s v="ZnakiNL"/>
        <s v="totisuedd"/>
        <s v="Zukwaan"/>
        <s v="vkngaffiliates"/>
        <s v="Tinchogramu"/>
        <s v="soroleto"/>
        <s v="reborced"/>
        <s v="octomediagroup"/>
        <s v="OnePartners"/>
        <s v="SAIDIteam"/>
        <s v="Cybertribe"/>
        <s v="Upshiftmedia"/>
        <s v="kasper12345"/>
        <s v="PlayPartners"/>
        <s v="glcanada"/>
        <s v="Bbasher"/>
        <s v="clickelevate"/>
        <s v="occc"/>
        <s v="clickid"/>
        <s v="maryturbotraffic"/>
        <s v="fbpromowebteam"/>
        <s v="AcePartners2"/>
        <s v="SaltySpins"/>
        <s v="speedfps1"/>
        <s v="bennyparcerias"/>
        <s v="worldyt"/>
        <s v="jonbossparcerias"/>
        <s v="Ethanx"/>
        <s v="moobslots"/>
        <s v="nightmarevc"/>
        <s v="hstjorven"/>
        <s v="streamlinks"/>
        <s v="lucas99mzn"/>
        <s v="Protipster"/>
        <s v="egamer"/>
        <s v="mediadoro1"/>
        <s v="biglouinthestu"/>
        <s v="Timba"/>
        <s v="Baldu"/>
        <s v="Emaaslots"/>
        <s v="MasterAffNetwork7640"/>
        <s v="thelootcompany"/>
        <s v="barkkzzcs"/>
        <s v="tribunadigital"/>
        <s v="MAXXIMTV"/>
        <s v="Trafficlab_New"/>
        <s v="Kanadamaxi"/>
        <s v="blexrSBO"/>
        <s v="Naqo"/>
        <s v="YuliaGoats"/>
        <s v="Affilino33"/>
        <s v="GagnoClub"/>
        <s v="Gabostream"/>
        <s v="Xaloslots"/>
        <s v="BojokoCA"/>
        <s v="crazyslotsvip"/>
        <s v="Chicharkick"/>
        <s v="kcvzin"/>
        <s v="Makeberry-CPA"/>
        <s v="depsum1"/>
        <s v="digitalworld"/>
        <s v="Slavstips"/>
        <s v="predicto"/>
        <s v="BetDeveloper"/>
        <s v="Media"/>
        <s v="Rohel7"/>
        <s v="UpUpPartners"/>
        <s v="AnastasiaCybertribe"/>
        <s v="Tierwulf"/>
        <s v="xmaria25"/>
        <s v="lautaacr"/>
        <s v="punisher"/>
        <s v="North"/>
        <s v="fourreal11"/>
        <s v="bigjuanwins"/>
        <s v="Cybertribe_Zaayko11"/>
        <s v="NORDIC_005_FJ"/>
      </sharedItems>
    </cacheField>
    <cacheField name="Partner" numFmtId="0">
      <sharedItems containsBlank="1">
        <s v="Elene_Gh"/>
        <s v="Ani_S"/>
        <s v="Nugi"/>
        <s v="Nini_B"/>
        <e v="#REF!"/>
        <s v="Giorgi_Ts"/>
        <m/>
      </sharedItems>
    </cacheField>
    <cacheField name="Payment Date">
      <sharedItems containsDate="1" containsMixedTypes="1">
        <d v="2026-01-16T00:00:00Z"/>
        <d v="2026-01-31T00:00:00Z"/>
        <d v="2026-02-24T00:00:00Z"/>
        <d v="2026-02-28T00:00:00Z"/>
        <d v="2026-03-01T00:00:00Z"/>
        <d v="2026-03-04T00:00:00Z"/>
        <d v="2026-03-10T00:00:00Z"/>
        <d v="2026-03-12T00:00:00Z"/>
        <d v="2026-03-13T00:00:00Z"/>
        <d v="2026-03-17T00:00:00Z"/>
        <s v="27/06/2026"/>
        <d v="2026-03-19T00:00:00Z"/>
        <e v="#REF!"/>
        <d v="2026-03-24T00:00:00Z"/>
        <d v="2026-03-25T00:00:00Z"/>
        <d v="2026-03-27T00:00:00Z"/>
        <d v="2026-04-07T00:00:00Z"/>
        <d v="2026-04-08T00:00:00Z"/>
        <d v="2026-04-10T00:00:00Z"/>
        <d v="2026-04-16T00:00:00Z"/>
        <d v="2026-04-17T00:00:00Z"/>
        <d v="2026-04-23T00:00:00Z"/>
        <d v="2026-04-24T00:00:00Z"/>
        <d v="2026-01-07T00:00:00Z"/>
        <d v="2026-04-27T00:00:00Z"/>
        <d v="2026-11-01T00:00:00Z"/>
        <d v="2026-04-29T00:00:00Z"/>
        <d v="2026-04-30T00:00:00Z"/>
        <d v="2026-05-01T00:00:00Z"/>
        <d v="2026-05-05T00:00:00Z"/>
        <d v="2026-05-06T00:00:00Z"/>
        <d v="2026-05-07T00:00:00Z"/>
        <d v="2026-05-08T00:00:00Z"/>
        <d v="2026-05-11T00:00:00Z"/>
        <d v="2026-05-14T00:00:00Z"/>
        <d v="2026-05-15T00:00:00Z"/>
        <d v="2026-05-27T00:00:00Z"/>
        <d v="2026-06-01T00:00:00Z"/>
        <d v="2026-06-02T00:00:00Z"/>
        <d v="2026-06-03T00:00:00Z"/>
        <d v="2026-06-04T00:00:00Z"/>
        <d v="2026-06-08T00:00:00Z"/>
        <d v="2026-06-09T00:00:00Z"/>
        <d v="2026-06-10T00:00:00Z"/>
        <d v="2026-06-11T00:00:00Z"/>
        <d v="2026-06-12T00:00:00Z"/>
        <d v="2026-06-15T00:00:00Z"/>
        <d v="2026-06-16T00:00:00Z"/>
        <d v="2026-06-17T00:00:00Z"/>
        <d v="2026-06-18T00:00:00Z"/>
        <d v="2026-01-01T00:00:00Z"/>
        <d v="2026-02-01T00:00:00Z"/>
        <d v="2026-04-01T00:00:00Z"/>
        <d v="2026-06-19T00:00:00Z"/>
        <d v="2026-06-22T00:00:00Z"/>
        <d v="2026-06-24T00:00:00Z"/>
        <d v="2026-06-25T00:00:00Z"/>
        <d v="2026-06-26T00:00:00Z"/>
      </sharedItems>
    </cacheField>
    <cacheField name="Cost">
      <sharedItems containsBlank="1" containsMixedTypes="1" containsNumber="1">
        <n v="600.0"/>
        <n v="5870.0"/>
        <n v="4193.0"/>
        <n v="2500.0"/>
        <n v="5518.58"/>
        <n v="889.98"/>
        <n v="30156.21"/>
        <n v="8586.599999999999"/>
        <n v="1500.0"/>
        <n v="3062.32"/>
        <n v="400.0"/>
        <n v="1423.29"/>
        <m/>
        <n v="2700.59"/>
        <n v="3479.61"/>
        <n v="11000.0"/>
        <n v="30850.0"/>
        <n v="1663.78"/>
        <e v="#REF!"/>
        <n v="14492.91"/>
        <n v="1000.0"/>
        <n v="300.0"/>
        <n v="900.0"/>
        <n v="2708.04"/>
        <n v="2000.0"/>
        <n v="800.0"/>
        <n v="679.9300000000001"/>
        <n v="382.1"/>
        <n v="372.34"/>
        <n v="361.7"/>
        <n v="1361.18"/>
        <n v="4000.0"/>
        <n v="200.0"/>
        <n v="5000.86"/>
        <n v="20383.4"/>
        <n v="3000.0"/>
        <n v="1650.0"/>
        <n v="3500.0"/>
        <n v="17000.0"/>
        <n v="1666.66"/>
        <n v="1666.67"/>
        <n v="1894.46"/>
        <n v="885.0"/>
        <n v="950.0"/>
        <n v="2700.0"/>
        <n v="879.82"/>
        <n v="1280.95"/>
        <n v="256.68"/>
        <n v="2815.6500000000005"/>
        <n v="2125.0"/>
        <n v="594.6700000000001"/>
        <n v="7500.0"/>
        <n v="1759.75"/>
        <n v="1646.67"/>
        <n v="1646.66"/>
        <n v="1864.33"/>
        <n v="1890.0"/>
        <n v="1544.65"/>
        <n v="687.0699999999999"/>
        <n v="2189.06"/>
        <n v="686.9"/>
        <n v="429.35"/>
        <n v="-1.15"/>
        <n v="580.67"/>
        <n v="477.26"/>
        <n v="1901.8"/>
        <n v="302.95"/>
        <n v="3333.34"/>
        <n v="2429.62"/>
        <n v="750.0"/>
        <n v="1550.9"/>
        <n v="538.23"/>
        <n v="20500.0"/>
        <n v="420.0"/>
        <n v="1250.0"/>
        <n v="431.08"/>
        <n v="107.77"/>
        <n v="344.86"/>
        <n v="1200.0"/>
        <n v="190.0"/>
        <n v="12000.0"/>
        <n v="2545.42"/>
        <n v="683.7"/>
        <n v="8486.0"/>
        <n v="24225.0"/>
        <n v="15927.0"/>
        <n v="30465.2"/>
        <n v="61275.0"/>
        <n v="143282.0"/>
        <n v="143283.0"/>
        <n v="1163.9"/>
        <n v="4200.0"/>
        <n v="2184.46"/>
        <n v="458.08"/>
        <n v="874.76"/>
        <n v="218.13"/>
        <n v="438.41"/>
        <n v="881.67"/>
        <n v="1100.0"/>
      </sharedItems>
    </cacheField>
    <cacheField name="Status" numFmtId="0">
      <sharedItems>
        <s v="Finished"/>
        <e v="#REF!"/>
        <s v="Ongoing"/>
        <s v="Scammer"/>
        <s v="Not Started"/>
        <s v="On hold"/>
      </sharedItems>
    </cacheField>
    <cacheField name="Source" numFmtId="0">
      <sharedItems>
        <s v="SEO"/>
        <s v="Meta"/>
        <s v="DSP"/>
        <s v="Influence"/>
        <s v="PPC"/>
        <e v="#REF!"/>
        <s v="Tipster"/>
        <s v="Media &amp; Seo"/>
      </sharedItems>
    </cacheField>
    <cacheField name="Starting date">
      <sharedItems containsDate="1" containsMixedTypes="1">
        <d v="2026-01-16T00:00:00Z"/>
        <d v="2026-01-01T00:00:00Z"/>
        <d v="2026-01-31T00:00:00Z"/>
        <d v="2026-02-24T00:00:00Z"/>
        <d v="2026-03-01T00:00:00Z"/>
        <d v="2026-02-28T00:00:00Z"/>
        <d v="2026-03-04T00:00:00Z"/>
        <d v="2026-03-10T00:00:00Z"/>
        <d v="2026-03-12T00:00:00Z"/>
        <d v="2026-03-13T00:00:00Z"/>
        <d v="2026-03-17T00:00:00Z"/>
        <d v="2026-03-18T00:00:00Z"/>
        <d v="2026-03-19T00:00:00Z"/>
        <e v="#REF!"/>
        <d v="2026-03-16T00:00:00Z"/>
        <d v="2026-04-18T00:00:00Z"/>
        <d v="2026-04-09T00:00:00Z"/>
        <d v="2026-05-01T00:00:00Z"/>
        <d v="2026-04-16T00:00:00Z"/>
        <d v="2026-04-17T00:00:00Z"/>
        <d v="2026-04-19T00:00:00Z"/>
        <d v="2026-04-27T00:00:00Z"/>
        <d v="2026-04-23T00:00:00Z"/>
        <d v="2026-04-25T00:00:00Z"/>
        <d v="2026-04-29T00:00:00Z"/>
        <d v="2026-03-30T00:00:00Z"/>
        <d v="2026-05-15T00:00:00Z"/>
        <d v="2026-06-01T00:00:00Z"/>
        <d v="2026-02-25T00:00:00Z"/>
        <d v="2026-03-26T00:00:00Z"/>
        <d v="2026-05-07T00:00:00Z"/>
        <d v="2026-05-18T00:00:00Z"/>
        <d v="2026-05-10T00:00:00Z"/>
        <d v="2026-05-25T00:00:00Z"/>
        <d v="2026-05-20T00:00:00Z"/>
        <d v="2026-06-15T00:00:00Z"/>
        <d v="2026-06-10T00:00:00Z"/>
        <d v="2026-06-16T00:00:00Z"/>
        <d v="2026-07-01T00:00:00Z"/>
        <d v="2026-06-12T00:00:00Z"/>
        <d v="2026-06-11T00:00:00Z"/>
        <d v="2026-06-14T00:00:00Z"/>
        <d v="2026-06-04T00:00:00Z"/>
        <d v="2026-06-22T00:00:00Z"/>
        <d v="2026-06-18T00:00:00Z"/>
        <d v="2026-06-19T00:00:00Z"/>
        <d v="2026-06-23T00:00:00Z"/>
        <d v="2026-06-20T00:00:00Z"/>
        <d v="2026-05-08T00:00:00Z"/>
        <d v="2026-02-01T00:00:00Z"/>
        <d v="2026-04-01T00:00:00Z"/>
        <d v="2026-06-29T00:00:00Z"/>
        <d v="2026-07-02T00:00:00Z"/>
        <d v="2026-06-25T00:00:00Z"/>
        <d v="2026-06-28T00:00:00Z"/>
        <d v="2026-07-15T00:00:00Z"/>
      </sharedItems>
    </cacheField>
    <cacheField name="End Date">
      <sharedItems containsDate="1" containsMixedTypes="1">
        <d v="2026-02-15T00:00:00Z"/>
        <d v="2026-01-31T00:00:00Z"/>
        <d v="2026-03-02T00:00:00Z"/>
        <d v="2026-03-26T00:00:00Z"/>
        <d v="2026-06-30T00:00:00Z"/>
        <d v="2026-03-30T00:00:00Z"/>
        <d v="2026-03-31T00:00:00Z"/>
        <d v="2026-04-03T00:00:00Z"/>
        <d v="2026-04-09T00:00:00Z"/>
        <d v="2026-07-10T00:00:00Z"/>
        <d v="2026-04-12T00:00:00Z"/>
        <d v="2026-04-16T00:00:00Z"/>
        <d v="2026-07-06T00:00:00Z"/>
        <d v="2026-04-18T00:00:00Z"/>
        <e v="#REF!"/>
        <d v="2026-04-17T00:00:00Z"/>
        <d v="2026-05-03T00:00:00Z"/>
        <d v="2026-04-29T00:00:00Z"/>
        <d v="2026-05-31T00:00:00Z"/>
        <d v="2026-04-30T00:00:00Z"/>
        <d v="2026-04-28T00:00:00Z"/>
        <d v="2026-04-19T00:00:00Z"/>
        <d v="2026-05-01T00:00:00Z"/>
        <d v="2026-06-01T00:00:00Z"/>
        <d v="2026-04-15T00:00:00Z"/>
        <d v="2026-11-30T00:00:00Z"/>
        <d v="2026-05-29T00:00:00Z"/>
        <d v="2026-04-08T00:00:00Z"/>
        <d v="2026-08-15T00:00:00Z"/>
        <d v="2016-05-31T00:00:00Z"/>
        <d v="2026-04-26T00:00:00Z"/>
        <d v="2026-05-14T00:00:00Z"/>
        <d v="2026-05-19T00:00:00Z"/>
        <d v="2026-05-25T00:00:00Z"/>
        <d v="2026-07-01T00:00:00Z"/>
        <d v="2026-05-30T00:00:00Z"/>
        <d v="2026-05-15T00:00:00Z"/>
        <d v="2026-07-24T00:00:00Z"/>
        <d v="2026-07-17T00:00:00Z"/>
        <d v="2026-09-01T00:00:00Z"/>
        <d v="2026-06-19T00:00:00Z"/>
        <d v="2026-07-11T00:00:00Z"/>
        <d v="2026-06-21T00:00:00Z"/>
        <d v="2026-07-22T00:00:00Z"/>
        <d v="2026-07-18T00:00:00Z"/>
        <d v="2026-07-21T00:00:00Z"/>
        <d v="2026-07-23T00:00:00Z"/>
        <d v="2026-07-20T00:00:00Z"/>
        <d v="2026-07-31T00:00:00Z"/>
        <d v="2026-05-08T00:00:00Z"/>
        <d v="2026-02-28T00:00:00Z"/>
        <d v="2026-06-26T00:00:00Z"/>
        <d v="2026-07-15T00:00:00Z"/>
        <d v="2026-06-29T00:00:00Z"/>
        <d v="2026-06-25T00:00:00Z"/>
      </sharedItems>
    </cacheField>
    <cacheField name="January accrued costs">
      <sharedItems containsMixedTypes="1" containsNumber="1">
        <n v="320.0"/>
        <n v="5870.0"/>
        <n v="139.76666666666668"/>
        <n v="0.0"/>
        <e v="#REF!"/>
        <n v="8486.0"/>
      </sharedItems>
    </cacheField>
    <cacheField name="February accrued costs">
      <sharedItems containsMixedTypes="1" containsNumber="1">
        <n v="280.0"/>
        <n v="0.0"/>
        <n v="3913.4666666666667"/>
        <n v="416.6666666666667"/>
        <n v="919.7633333333334"/>
        <n v="148.32999999999998"/>
        <n v="286.21999999999997"/>
        <e v="#REF!"/>
        <n v="157.14285714285714"/>
        <n v="24225.0"/>
      </sharedItems>
    </cacheField>
    <cacheField name="March accrued costs">
      <sharedItems containsMixedTypes="1" containsNumber="1">
        <n v="0.0"/>
        <n v="139.76666666666668"/>
        <n v="2083.3333333333335"/>
        <n v="4598.816666666667"/>
        <n v="741.65"/>
        <n v="7725.971157024794"/>
        <n v="8300.38"/>
        <n v="1500.0"/>
        <n v="2858.1653333333334"/>
        <n v="293.3333333333333"/>
        <n v="237.215"/>
        <n v="1710.3736666666668"/>
        <n v="2203.7529999999997"/>
        <n v="5500.0"/>
        <n v="3926.3636363636365"/>
        <n v="720.9713333333333"/>
        <e v="#REF!"/>
        <n v="7246.455"/>
        <n v="500.0"/>
        <n v="150.0"/>
        <n v="25.0"/>
        <n v="1217.857142857143"/>
        <n v="171.29032258064515"/>
        <n v="475.0"/>
        <n v="205.83375"/>
        <n v="205.8325"/>
        <n v="2447.3684210526317"/>
        <n v="15927.0"/>
      </sharedItems>
    </cacheField>
    <cacheField name="April accrued costs">
      <sharedItems containsMixedTypes="1" containsNumber="1">
        <n v="0.0"/>
        <n v="7476.746280991735"/>
        <n v="204.15466666666669"/>
        <n v="106.66666666666667"/>
        <n v="355.8225"/>
        <n v="990.2163333333334"/>
        <n v="1275.857"/>
        <n v="5500.0"/>
        <n v="8413.636363636364"/>
        <n v="942.8086666666666"/>
        <e v="#REF!"/>
        <n v="7246.455"/>
        <n v="500.0"/>
        <n v="150.0"/>
        <n v="780.0"/>
        <n v="2708.04"/>
        <n v="800.0"/>
        <n v="679.9300000000001"/>
        <n v="382.1"/>
        <n v="248.22666666666666"/>
        <n v="361.7"/>
        <n v="1361.18"/>
        <n v="242.42424242424244"/>
        <n v="175.0"/>
        <n v="200.0"/>
        <n v="275.0"/>
        <n v="713.7096774193549"/>
        <n v="942.8571428571429"/>
        <n v="475.0"/>
        <n v="2340.0"/>
        <n v="1280.95"/>
        <n v="1440.83625"/>
        <n v="1440.8275"/>
        <n v="266.6666666666667"/>
        <n v="190.0"/>
        <n v="2368.4210526315787"/>
        <n v="30465.2"/>
      </sharedItems>
    </cacheField>
    <cacheField name="May accrued costs">
      <sharedItems containsMixedTypes="1" containsNumber="1">
        <n v="0.0"/>
        <n v="7725.971157024794"/>
        <n v="367.68325"/>
        <n v="8694.09090909091"/>
        <e v="#REF!"/>
        <n v="120.0"/>
        <n v="2000.0"/>
        <n v="124.11333333333333"/>
        <n v="3757.5757575757575"/>
        <n v="5000.86"/>
        <n v="4000.0"/>
        <n v="2800.0"/>
        <n v="1808.3333333333333"/>
        <n v="3141.304347826087"/>
        <n v="1666.66"/>
        <n v="1666.67"/>
        <n v="978.8043333333334"/>
        <n v="557.1428571428571"/>
        <n v="360.0"/>
        <n v="879.82"/>
        <n v="256.68"/>
        <n v="2815.65"/>
        <n v="2125.0"/>
        <n v="594.6700000000001"/>
        <n v="7500.0"/>
        <n v="332.9256756756757"/>
        <n v="1759.75"/>
        <n v="1864.33"/>
        <n v="1890.0"/>
        <n v="2500.0"/>
        <n v="420.0"/>
        <n v="1250.0"/>
        <n v="933.3333333333334"/>
        <n v="2447.3684210526317"/>
        <n v="2545.42"/>
        <n v="1000.0"/>
        <n v="683.7"/>
        <n v="61275.0"/>
        <n v="400.0"/>
      </sharedItems>
    </cacheField>
    <cacheField name="June accrued costs">
      <sharedItems containsMixedTypes="1" containsNumber="1">
        <n v="0.0"/>
        <n v="7227.5214049586775"/>
        <n v="355.8225"/>
        <n v="8413.636363636364"/>
        <e v="#REF!"/>
        <n v="3359.901098901099"/>
        <n v="1691.6666666666667"/>
        <n v="5543.478260869565"/>
        <n v="915.6556666666668"/>
        <n v="1426.8243243243244"/>
        <n v="1544.65"/>
        <n v="3500.0"/>
        <n v="687.0699999999999"/>
        <n v="2189.06"/>
        <n v="686.9"/>
        <n v="429.35"/>
        <n v="-1.15"/>
        <n v="950.0"/>
        <n v="580.67"/>
        <n v="676.9230769230769"/>
        <n v="334.082"/>
        <n v="920.2258064516129"/>
        <n v="302.95"/>
        <n v="2222.226666666667"/>
        <n v="1111.1066666666668"/>
        <n v="2429.62"/>
        <n v="750.0"/>
        <n v="672.0566666666667"/>
        <n v="233.233"/>
        <n v="7687.5"/>
        <n v="114.95466666666667"/>
        <n v="39.51566666666667"/>
        <n v="103.45800000000001"/>
        <n v="2368.4210526315787"/>
        <n v="143282.0"/>
        <n v="11940.25"/>
        <n v="96.99166666666667"/>
        <n v="800.9686666666668"/>
        <n v="458.08"/>
        <n v="874.76"/>
        <n v="65.439"/>
        <n v="300.0"/>
        <n v="438.41"/>
        <n v="2045.4545454545455"/>
      </sharedItems>
    </cacheField>
    <cacheField name="January FTD">
      <sharedItems containsBlank="1" containsMixedTypes="1" containsNumber="1" containsInteger="1">
        <e v="#N/A"/>
        <m/>
        <n v="344.0"/>
        <n v="0.0"/>
      </sharedItems>
    </cacheField>
    <cacheField name="February FTD">
      <sharedItems containsBlank="1" containsMixedTypes="1" containsNumber="1" containsInteger="1">
        <e v="#N/A"/>
        <m/>
        <n v="0.0"/>
        <n v="297.0"/>
      </sharedItems>
    </cacheField>
    <cacheField name="March FTD">
      <sharedItems containsBlank="1" containsMixedTypes="1" containsNumber="1" containsInteger="1">
        <e v="#N/A"/>
        <m/>
        <n v="0.0"/>
        <n v="331.0"/>
      </sharedItems>
    </cacheField>
    <cacheField name="April FTD">
      <sharedItems containsBlank="1" containsMixedTypes="1" containsNumber="1" containsInteger="1">
        <e v="#N/A"/>
        <m/>
        <n v="0.0"/>
        <n v="310.0"/>
      </sharedItems>
    </cacheField>
    <cacheField name="May FTD">
      <sharedItems containsBlank="1" containsMixedTypes="1" containsNumber="1" containsInteger="1">
        <e v="#N/A"/>
        <m/>
        <n v="0.0"/>
        <n v="406.0"/>
      </sharedItems>
    </cacheField>
    <cacheField name="June FTD">
      <sharedItems containsBlank="1" containsMixedTypes="1" containsNumber="1" containsInteger="1">
        <e v="#N/A"/>
        <n v="0.0"/>
        <n v="424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126" sheet="Data Accrued"/>
  </cacheSource>
  <cacheFields>
    <cacheField name="Affiliate Name" numFmtId="0">
      <sharedItems>
        <s v="BestCryptoCasino"/>
        <s v="SBGC"/>
        <s v="Coincodex"/>
        <s v="toprangemain"/>
        <s v="profithunters"/>
        <s v="Firelink"/>
        <s v="rocketlink"/>
        <s v="bwisemedia"/>
        <s v="andriiparfenov1"/>
        <s v="DappCentre"/>
        <s v="Ricardoc24"/>
        <s v="Valek"/>
        <s v="trimics2"/>
        <s v="bboladin26"/>
        <s v="Mavaads"/>
        <s v="migzparcerias"/>
        <s v="MrBooster"/>
        <e v="#REF!"/>
        <s v="SharkLink"/>
        <s v="moneturn"/>
        <s v="MightyCasino"/>
        <s v="VALECHOBERK"/>
        <s v="Rayconeta"/>
        <s v="seobroCA"/>
        <s v="ZnakiNL"/>
        <s v="totisuedd"/>
        <s v="Zukwaan"/>
        <s v="vkngaffiliates"/>
        <s v="Tinchogramu"/>
        <s v="soroleto"/>
        <s v="reborced"/>
        <s v="octomediagroup"/>
        <s v="OnePartners"/>
        <s v="SAIDIteam"/>
        <s v="Cybertribe"/>
        <s v="Upshiftmedia"/>
        <s v="kasper12345"/>
        <s v="PlayPartners"/>
        <s v="glcanada"/>
        <s v="Bbasher"/>
        <s v="clickelevate"/>
        <s v="occc"/>
        <s v="clickid"/>
        <s v="maryturbotraffic"/>
        <s v="fbpromowebteam"/>
        <s v="AcePartners2"/>
        <s v="SaltySpins"/>
        <s v="speedfps1"/>
        <s v="bennyparcerias"/>
        <s v="worldyt"/>
        <s v="jonbossparcerias"/>
        <s v="Ethanx"/>
        <s v="moobslots"/>
        <s v="nightmarevc"/>
        <s v="hstjorven"/>
        <s v="streamlinks"/>
        <s v="lucas99mzn"/>
        <s v="Protipster"/>
        <s v="egamer"/>
        <s v="mediadoro1"/>
        <s v="biglouinthestu"/>
        <s v="Timba"/>
        <s v="Baldu"/>
        <s v="Emaaslots"/>
        <s v="MasterAffNetwork7640"/>
        <s v="thelootcompany"/>
        <s v="barkkzzcs"/>
        <s v="tribunadigital"/>
        <s v="MAXXIMTV"/>
        <s v="Trafficlab_New"/>
        <s v="Kanadamaxi"/>
        <s v="blexrSBO"/>
        <s v="Naqo"/>
        <s v="YuliaGoats"/>
        <s v="Affilino33"/>
        <s v="GagnoClub"/>
        <s v="Gabostream"/>
        <s v="Xaloslots"/>
        <s v="BojokoCA"/>
        <s v="crazyslotsvip"/>
        <s v="Chicharkick"/>
        <s v="kcvzin"/>
        <s v="Makeberry-CPA"/>
        <s v="depsum1"/>
        <s v="digitalworld"/>
        <s v="Slavstips"/>
        <s v="predicto"/>
        <s v="BetDeveloper"/>
        <s v="Media"/>
      </sharedItems>
    </cacheField>
    <cacheField name="Date">
      <sharedItems containsDate="1" containsMixedTypes="1">
        <d v="2026-01-16T00:00:00Z"/>
        <d v="2026-01-31T00:00:00Z"/>
        <d v="2026-02-24T00:00:00Z"/>
        <d v="2026-02-28T00:00:00Z"/>
        <d v="2026-03-01T00:00:00Z"/>
        <d v="2026-03-04T00:00:00Z"/>
        <d v="2026-03-10T00:00:00Z"/>
        <d v="2026-03-12T00:00:00Z"/>
        <d v="2026-03-13T00:00:00Z"/>
        <d v="2026-03-17T00:00:00Z"/>
        <d v="2026-03-18T00:00:00Z"/>
        <d v="2026-03-19T00:00:00Z"/>
        <e v="#REF!"/>
        <d v="2026-03-24T00:00:00Z"/>
        <d v="2026-03-25T00:00:00Z"/>
        <d v="2026-03-27T00:00:00Z"/>
        <d v="2026-04-07T00:00:00Z"/>
        <d v="2026-04-08T00:00:00Z"/>
        <d v="2026-04-10T00:00:00Z"/>
        <d v="2026-04-16T00:00:00Z"/>
        <d v="2026-04-17T00:00:00Z"/>
        <d v="2026-04-23T00:00:00Z"/>
        <d v="2026-04-24T00:00:00Z"/>
        <d v="2026-04-27T00:00:00Z"/>
        <d v="2026-06-01T00:00:00Z"/>
        <d v="2026-04-29T00:00:00Z"/>
        <d v="2026-04-30T00:00:00Z"/>
        <d v="2026-05-01T00:00:00Z"/>
        <d v="2026-05-05T00:00:00Z"/>
        <d v="2026-05-06T00:00:00Z"/>
        <d v="2026-05-07T00:00:00Z"/>
        <d v="2026-05-08T00:00:00Z"/>
        <d v="2026-05-11T00:00:00Z"/>
        <d v="2026-05-14T00:00:00Z"/>
        <d v="2026-05-15T00:00:00Z"/>
        <d v="2026-05-27T00:00:00Z"/>
        <d v="2026-06-02T00:00:00Z"/>
        <d v="2026-06-03T00:00:00Z"/>
        <d v="2026-06-04T00:00:00Z"/>
        <d v="2026-06-08T00:00:00Z"/>
        <d v="2026-06-09T00:00:00Z"/>
        <d v="2026-06-10T00:00:00Z"/>
        <d v="2026-06-11T00:00:00Z"/>
        <d v="2026-06-12T00:00:00Z"/>
        <d v="2026-06-15T00:00:00Z"/>
        <d v="2026-06-16T00:00:00Z"/>
        <d v="2026-06-17T00:00:00Z"/>
        <d v="2026-06-18T00:00:00Z"/>
        <d v="2026-01-01T00:00:00Z"/>
        <d v="2026-02-01T00:00:00Z"/>
        <d v="2026-04-01T00:00:00Z"/>
      </sharedItems>
    </cacheField>
    <cacheField name="Deal Type" numFmtId="0">
      <sharedItems>
        <s v="Listing"/>
        <s v="Fixed"/>
        <s v="CPA"/>
        <e v="#REF!"/>
        <s v="Media Buying"/>
      </sharedItems>
    </cacheField>
    <cacheField name="affiliate name2" numFmtId="0">
      <sharedItems>
        <s v="BestCryptoCasino"/>
        <s v="SBGC"/>
        <s v="Coincodex"/>
        <s v="toprangemain"/>
        <s v="profithunters"/>
        <s v="Firelink"/>
        <s v="rocketlink"/>
        <s v="bwisemedia"/>
        <s v="andriiparfenov1"/>
        <s v="DappCentre"/>
        <s v="Ricardoc24"/>
        <s v="Valek"/>
        <s v="trimics2"/>
        <s v="bboladin26"/>
        <s v="Mavaads"/>
        <s v="migzparcerias"/>
        <s v="MrBooster"/>
        <e v="#REF!"/>
        <s v="SharkLink"/>
        <s v="moneturn"/>
        <s v="MightyCasino"/>
        <s v="VALECHOBERK"/>
        <s v="Rayconeta"/>
        <s v="seobroCA"/>
        <s v="ZnakiNL"/>
        <s v="totisuedd"/>
        <s v="Zukwaan"/>
        <s v="vkngaffiliates"/>
        <s v="Tinchogramu"/>
        <s v="soroleto"/>
        <s v="reborced"/>
        <s v="octomediagroup"/>
        <s v="OnePartners"/>
        <s v="SAIDIteam"/>
        <s v="Cybertribe"/>
        <s v="Upshiftmedia"/>
        <s v="kasper12345"/>
        <s v="PlayPartners"/>
        <s v="glcanada"/>
        <s v="Bbasher"/>
        <s v="clickelevate"/>
        <s v="occc"/>
        <s v="clickid"/>
        <s v="maryturbotraffic"/>
        <s v="fbpromowebteam"/>
        <s v="AcePartners2"/>
        <s v="SaltySpins"/>
        <s v="speedfps1"/>
        <s v="bennyparcerias"/>
        <s v="worldyt"/>
        <s v="jonbossparcerias"/>
        <s v="Ethanx"/>
        <s v="moobslots"/>
        <s v="nightmarevc"/>
        <s v="hstjorven"/>
        <s v="streamlinks"/>
        <s v="lucas99mzn"/>
        <s v="Protipster"/>
        <s v="egamer"/>
        <s v="mediadoro1"/>
        <s v="biglouinthestu"/>
        <s v="Timba"/>
        <s v="Baldu"/>
        <s v="Emaaslots"/>
        <s v="MasterAffNetwork7640"/>
        <s v="thelootcompany"/>
        <s v="barkkzzcs"/>
        <s v="tribunadigital"/>
        <s v="MAXXIMTV"/>
        <s v="Trafficlab_New"/>
        <s v="Kanadamaxi"/>
        <s v="blexrSBO"/>
        <s v="Naqo"/>
        <s v="YuliaGoats"/>
        <s v="Affilino33"/>
        <s v="GagnoClub"/>
        <s v="Gabostream"/>
        <s v="Xaloslots"/>
        <s v="BojokoCA"/>
        <s v="crazyslotsvip"/>
        <s v="Chicharkick"/>
        <s v="kcvzin"/>
        <s v="Makeberry-CPA"/>
        <s v="depsum1"/>
        <s v="digitalworld"/>
        <s v="Slavstips"/>
        <s v="predicto"/>
        <s v="BetDeveloper"/>
        <s v="Media"/>
      </sharedItems>
    </cacheField>
    <cacheField name="Partner" numFmtId="0">
      <sharedItems containsBlank="1">
        <s v="Elene_Gh"/>
        <s v="Ani_S"/>
        <s v="Nugi"/>
        <s v="Nini_B"/>
        <e v="#REF!"/>
        <s v="Giorgi_Ts"/>
        <m/>
      </sharedItems>
    </cacheField>
    <cacheField name="Payment Date">
      <sharedItems containsDate="1" containsMixedTypes="1">
        <d v="2026-01-16T00:00:00Z"/>
        <d v="2026-01-31T00:00:00Z"/>
        <d v="2026-02-24T00:00:00Z"/>
        <d v="2026-02-28T00:00:00Z"/>
        <d v="2026-03-01T00:00:00Z"/>
        <d v="2026-03-04T00:00:00Z"/>
        <d v="2026-03-10T00:00:00Z"/>
        <d v="2026-03-12T00:00:00Z"/>
        <d v="2026-03-13T00:00:00Z"/>
        <d v="2026-03-17T00:00:00Z"/>
        <s v="27/06/2026"/>
        <d v="2026-03-19T00:00:00Z"/>
        <e v="#REF!"/>
        <d v="2026-03-24T00:00:00Z"/>
        <d v="2026-03-25T00:00:00Z"/>
        <d v="2026-03-27T00:00:00Z"/>
        <d v="2026-04-07T00:00:00Z"/>
        <d v="2026-04-08T00:00:00Z"/>
        <d v="2026-04-10T00:00:00Z"/>
        <d v="2026-04-16T00:00:00Z"/>
        <d v="2026-04-17T00:00:00Z"/>
        <d v="2026-04-23T00:00:00Z"/>
        <d v="2026-04-24T00:00:00Z"/>
        <d v="2026-01-07T00:00:00Z"/>
        <d v="2026-04-27T00:00:00Z"/>
        <d v="2026-11-01T00:00:00Z"/>
        <d v="2026-04-29T00:00:00Z"/>
        <d v="2026-04-30T00:00:00Z"/>
        <d v="2026-05-01T00:00:00Z"/>
        <d v="2026-05-05T00:00:00Z"/>
        <d v="2026-05-06T00:00:00Z"/>
        <d v="2026-05-07T00:00:00Z"/>
        <d v="2026-05-08T00:00:00Z"/>
        <d v="2026-05-11T00:00:00Z"/>
        <d v="2026-05-14T00:00:00Z"/>
        <d v="2026-05-15T00:00:00Z"/>
        <d v="2026-05-27T00:00:00Z"/>
        <d v="2026-06-01T00:00:00Z"/>
        <d v="2026-06-02T00:00:00Z"/>
        <d v="2026-06-03T00:00:00Z"/>
        <d v="2026-06-04T00:00:00Z"/>
        <d v="2026-06-08T00:00:00Z"/>
        <d v="2026-06-09T00:00:00Z"/>
        <d v="2026-06-10T00:00:00Z"/>
        <d v="2026-06-11T00:00:00Z"/>
        <d v="2026-06-12T00:00:00Z"/>
        <d v="2026-06-15T00:00:00Z"/>
        <d v="2026-06-16T00:00:00Z"/>
        <d v="2026-06-17T00:00:00Z"/>
        <d v="2026-06-18T00:00:00Z"/>
        <d v="2026-01-01T00:00:00Z"/>
        <d v="2026-02-01T00:00:00Z"/>
        <d v="2026-04-01T00:00:00Z"/>
      </sharedItems>
    </cacheField>
    <cacheField name="Cost">
      <sharedItems containsBlank="1" containsMixedTypes="1" containsNumber="1">
        <n v="600.0"/>
        <n v="5870.0"/>
        <n v="4193.0"/>
        <n v="2500.0"/>
        <n v="5518.58"/>
        <n v="889.98"/>
        <n v="30156.21"/>
        <n v="8586.599999999999"/>
        <n v="1500.0"/>
        <n v="3062.32"/>
        <n v="400.0"/>
        <n v="1423.29"/>
        <m/>
        <n v="2700.59"/>
        <n v="3479.61"/>
        <n v="11000.0"/>
        <n v="30850.0"/>
        <n v="1663.78"/>
        <e v="#REF!"/>
        <n v="14492.91"/>
        <n v="1000.0"/>
        <n v="300.0"/>
        <n v="900.0"/>
        <n v="2708.04"/>
        <n v="2000.0"/>
        <n v="800.0"/>
        <n v="679.9300000000001"/>
        <n v="382.1"/>
        <n v="372.34"/>
        <n v="361.7"/>
        <n v="1361.18"/>
        <n v="4000.0"/>
        <n v="200.0"/>
        <n v="5000.86"/>
        <n v="20383.4"/>
        <n v="3000.0"/>
        <n v="1650.0"/>
        <n v="3500.0"/>
        <n v="17000.0"/>
        <n v="1666.66"/>
        <n v="1666.67"/>
        <n v="1894.46"/>
        <n v="885.0"/>
        <n v="950.0"/>
        <n v="2700.0"/>
        <n v="879.82"/>
        <n v="1280.95"/>
        <n v="256.68"/>
        <n v="2815.6500000000005"/>
        <n v="2125.0"/>
        <n v="594.6700000000001"/>
        <n v="7500.0"/>
        <n v="1759.75"/>
        <n v="1646.67"/>
        <n v="1646.66"/>
        <n v="1864.33"/>
        <n v="1890.0"/>
        <n v="1544.65"/>
        <n v="687.0699999999999"/>
        <n v="2189.06"/>
        <n v="686.9"/>
        <n v="429.35"/>
        <n v="-1.15"/>
        <n v="580.67"/>
        <n v="477.26"/>
        <n v="1901.8"/>
        <n v="302.95"/>
        <n v="3333.34"/>
        <n v="2429.62"/>
        <n v="750.0"/>
        <n v="1550.9"/>
        <n v="538.23"/>
        <n v="20500.0"/>
        <n v="420.0"/>
        <n v="1250.0"/>
        <n v="431.08"/>
        <n v="107.77"/>
        <n v="344.86"/>
        <n v="1200.0"/>
        <n v="190.0"/>
        <n v="12000.0"/>
        <n v="2545.42"/>
        <n v="683.7"/>
        <n v="8486.0"/>
        <n v="24225.0"/>
        <n v="15927.0"/>
        <n v="30465.2"/>
        <n v="61275.0"/>
        <n v="143282.0"/>
      </sharedItems>
    </cacheField>
    <cacheField name="Status" numFmtId="0">
      <sharedItems>
        <s v="Finished"/>
        <e v="#REF!"/>
        <s v="Ongoing"/>
        <s v="Scammer"/>
        <s v="Not Started"/>
      </sharedItems>
    </cacheField>
    <cacheField name="Source" numFmtId="0">
      <sharedItems>
        <s v="SEO"/>
        <s v="Meta"/>
        <s v="DSP"/>
        <s v="Influence"/>
        <s v="PPC"/>
        <e v="#REF!"/>
        <s v="Tipster"/>
        <s v="Media &amp; Seo"/>
      </sharedItems>
    </cacheField>
    <cacheField name="Starting date">
      <sharedItems containsDate="1" containsMixedTypes="1">
        <d v="2026-01-16T00:00:00Z"/>
        <d v="2026-01-01T00:00:00Z"/>
        <d v="2026-01-31T00:00:00Z"/>
        <d v="2026-02-24T00:00:00Z"/>
        <d v="2026-03-01T00:00:00Z"/>
        <d v="2026-02-28T00:00:00Z"/>
        <d v="2026-03-04T00:00:00Z"/>
        <d v="2026-03-10T00:00:00Z"/>
        <d v="2026-03-12T00:00:00Z"/>
        <d v="2026-03-13T00:00:00Z"/>
        <d v="2026-03-17T00:00:00Z"/>
        <d v="2026-03-18T00:00:00Z"/>
        <d v="2026-03-19T00:00:00Z"/>
        <e v="#REF!"/>
        <d v="2026-03-16T00:00:00Z"/>
        <d v="2026-04-18T00:00:00Z"/>
        <d v="2026-04-09T00:00:00Z"/>
        <d v="2026-05-01T00:00:00Z"/>
        <d v="2026-04-16T00:00:00Z"/>
        <d v="2026-04-17T00:00:00Z"/>
        <d v="2026-04-19T00:00:00Z"/>
        <d v="2026-04-27T00:00:00Z"/>
        <d v="2026-04-23T00:00:00Z"/>
        <d v="2026-04-25T00:00:00Z"/>
        <d v="2026-04-29T00:00:00Z"/>
        <d v="2026-03-30T00:00:00Z"/>
        <d v="2026-05-15T00:00:00Z"/>
        <d v="2026-06-01T00:00:00Z"/>
        <d v="2026-02-25T00:00:00Z"/>
        <d v="2026-03-26T00:00:00Z"/>
        <d v="2026-05-07T00:00:00Z"/>
        <d v="2026-05-18T00:00:00Z"/>
        <d v="2026-05-10T00:00:00Z"/>
        <d v="2026-05-25T00:00:00Z"/>
        <d v="2026-05-20T00:00:00Z"/>
        <d v="2026-06-15T00:00:00Z"/>
        <d v="2026-06-10T00:00:00Z"/>
        <d v="2026-06-16T00:00:00Z"/>
        <d v="2026-07-01T00:00:00Z"/>
        <d v="2026-06-12T00:00:00Z"/>
        <d v="2026-06-11T00:00:00Z"/>
        <d v="2026-06-14T00:00:00Z"/>
        <d v="2026-06-04T00:00:00Z"/>
        <d v="2026-06-22T00:00:00Z"/>
        <d v="2026-06-18T00:00:00Z"/>
        <d v="2026-06-19T00:00:00Z"/>
        <d v="2026-06-23T00:00:00Z"/>
        <d v="2026-06-20T00:00:00Z"/>
        <d v="2026-05-08T00:00:00Z"/>
        <d v="2026-02-01T00:00:00Z"/>
        <d v="2026-04-01T00:00:00Z"/>
      </sharedItems>
    </cacheField>
    <cacheField name="End Date">
      <sharedItems containsDate="1" containsMixedTypes="1">
        <d v="2026-02-15T00:00:00Z"/>
        <d v="2026-01-31T00:00:00Z"/>
        <d v="2026-03-02T00:00:00Z"/>
        <d v="2026-03-26T00:00:00Z"/>
        <d v="2026-06-30T00:00:00Z"/>
        <d v="2026-03-30T00:00:00Z"/>
        <d v="2026-03-31T00:00:00Z"/>
        <d v="2026-04-03T00:00:00Z"/>
        <d v="2026-04-09T00:00:00Z"/>
        <d v="2026-07-10T00:00:00Z"/>
        <d v="2026-04-12T00:00:00Z"/>
        <d v="2026-04-16T00:00:00Z"/>
        <d v="2026-07-06T00:00:00Z"/>
        <d v="2026-04-18T00:00:00Z"/>
        <e v="#REF!"/>
        <d v="2026-04-17T00:00:00Z"/>
        <d v="2026-05-03T00:00:00Z"/>
        <d v="2026-04-29T00:00:00Z"/>
        <d v="2026-05-31T00:00:00Z"/>
        <d v="2026-04-30T00:00:00Z"/>
        <d v="2026-04-28T00:00:00Z"/>
        <d v="2026-04-19T00:00:00Z"/>
        <d v="2026-05-01T00:00:00Z"/>
        <d v="2026-06-01T00:00:00Z"/>
        <d v="2026-04-15T00:00:00Z"/>
        <d v="2026-11-30T00:00:00Z"/>
        <d v="2026-05-29T00:00:00Z"/>
        <d v="2026-04-08T00:00:00Z"/>
        <d v="2026-08-15T00:00:00Z"/>
        <d v="2016-05-31T00:00:00Z"/>
        <d v="2026-04-26T00:00:00Z"/>
        <d v="2026-05-14T00:00:00Z"/>
        <d v="2026-05-19T00:00:00Z"/>
        <d v="2026-05-25T00:00:00Z"/>
        <d v="2026-07-01T00:00:00Z"/>
        <d v="2026-05-30T00:00:00Z"/>
        <d v="2026-05-15T00:00:00Z"/>
        <d v="2026-07-24T00:00:00Z"/>
        <d v="2026-07-17T00:00:00Z"/>
        <d v="2026-09-01T00:00:00Z"/>
        <d v="2026-06-19T00:00:00Z"/>
        <d v="2026-07-11T00:00:00Z"/>
        <d v="2026-06-21T00:00:00Z"/>
        <d v="2026-07-22T00:00:00Z"/>
        <d v="2026-07-18T00:00:00Z"/>
        <d v="2026-07-21T00:00:00Z"/>
        <d v="2026-07-23T00:00:00Z"/>
        <d v="2026-07-20T00:00:00Z"/>
        <d v="2026-07-31T00:00:00Z"/>
        <d v="2026-05-08T00:00:00Z"/>
        <d v="2026-02-28T00:00:00Z"/>
      </sharedItems>
    </cacheField>
    <cacheField name="January accrued costs">
      <sharedItems containsMixedTypes="1" containsNumber="1">
        <n v="320.0"/>
        <n v="5870.0"/>
        <n v="139.76666666666668"/>
        <n v="0.0"/>
        <e v="#REF!"/>
        <n v="8486.0"/>
      </sharedItems>
    </cacheField>
    <cacheField name="February accrued costs">
      <sharedItems containsMixedTypes="1" containsNumber="1">
        <n v="280.0"/>
        <n v="0.0"/>
        <n v="3913.4666666666667"/>
        <n v="416.6666666666667"/>
        <n v="919.7633333333334"/>
        <n v="148.32999999999998"/>
        <n v="286.21999999999997"/>
        <e v="#REF!"/>
        <n v="157.14285714285714"/>
        <n v="24225.0"/>
      </sharedItems>
    </cacheField>
    <cacheField name="March accrued costs">
      <sharedItems containsMixedTypes="1" containsNumber="1">
        <n v="0.0"/>
        <n v="139.76666666666668"/>
        <n v="2083.3333333333335"/>
        <n v="4598.816666666667"/>
        <n v="741.65"/>
        <n v="7725.971157024794"/>
        <n v="8300.38"/>
        <n v="1500.0"/>
        <n v="2858.1653333333334"/>
        <n v="293.3333333333333"/>
        <n v="237.215"/>
        <n v="1710.3736666666668"/>
        <n v="2203.7529999999997"/>
        <n v="5500.0"/>
        <n v="3926.3636363636365"/>
        <n v="720.9713333333333"/>
        <e v="#REF!"/>
        <n v="7246.455"/>
        <n v="500.0"/>
        <n v="150.0"/>
        <n v="25.0"/>
        <n v="1217.857142857143"/>
        <n v="171.29032258064515"/>
        <n v="475.0"/>
        <n v="205.83375"/>
        <n v="205.8325"/>
        <n v="2447.3684210526317"/>
        <n v="15927.0"/>
      </sharedItems>
    </cacheField>
    <cacheField name="April accrued costs">
      <sharedItems containsMixedTypes="1" containsNumber="1">
        <n v="0.0"/>
        <n v="7476.746280991735"/>
        <n v="204.15466666666669"/>
        <n v="106.66666666666667"/>
        <n v="355.8225"/>
        <n v="990.2163333333334"/>
        <n v="1275.857"/>
        <n v="5500.0"/>
        <n v="8413.636363636364"/>
        <n v="942.8086666666666"/>
        <e v="#REF!"/>
        <n v="7246.455"/>
        <n v="500.0"/>
        <n v="150.0"/>
        <n v="780.0"/>
        <n v="2708.04"/>
        <n v="800.0"/>
        <n v="679.9300000000001"/>
        <n v="382.1"/>
        <n v="248.22666666666666"/>
        <n v="361.7"/>
        <n v="1361.18"/>
        <n v="242.42424242424244"/>
        <n v="175.0"/>
        <n v="200.0"/>
        <n v="275.0"/>
        <n v="713.7096774193549"/>
        <n v="942.8571428571429"/>
        <n v="475.0"/>
        <n v="2340.0"/>
        <n v="1280.95"/>
        <n v="1440.83625"/>
        <n v="1440.8275"/>
        <n v="266.6666666666667"/>
        <n v="190.0"/>
        <n v="2368.4210526315787"/>
        <n v="30465.2"/>
      </sharedItems>
    </cacheField>
    <cacheField name="May accrued costs">
      <sharedItems containsMixedTypes="1" containsNumber="1">
        <n v="0.0"/>
        <n v="7725.971157024794"/>
        <n v="367.68325"/>
        <n v="8694.09090909091"/>
        <e v="#REF!"/>
        <n v="120.0"/>
        <n v="2000.0"/>
        <n v="124.11333333333333"/>
        <n v="3757.5757575757575"/>
        <n v="5000.86"/>
        <n v="4000.0"/>
        <n v="2800.0"/>
        <n v="1808.3333333333333"/>
        <n v="3141.304347826087"/>
        <n v="1666.66"/>
        <n v="1666.67"/>
        <n v="978.8043333333334"/>
        <n v="557.1428571428571"/>
        <n v="360.0"/>
        <n v="879.82"/>
        <n v="256.68"/>
        <n v="2815.65"/>
        <n v="2125.0"/>
        <n v="594.6700000000001"/>
        <n v="7500.0"/>
        <n v="332.9256756756757"/>
        <n v="1759.75"/>
        <n v="1864.33"/>
        <n v="1890.0"/>
        <n v="2500.0"/>
        <n v="420.0"/>
        <n v="1250.0"/>
        <n v="933.3333333333334"/>
        <n v="2447.3684210526317"/>
        <n v="2545.42"/>
        <n v="1000.0"/>
        <n v="683.7"/>
        <n v="61275.0"/>
      </sharedItems>
    </cacheField>
    <cacheField name="June accrued costs">
      <sharedItems containsMixedTypes="1" containsNumber="1">
        <n v="0.0"/>
        <n v="7227.5214049586775"/>
        <n v="355.8225"/>
        <n v="8413.636363636364"/>
        <e v="#REF!"/>
        <n v="3359.901098901099"/>
        <n v="1691.6666666666667"/>
        <n v="5543.478260869565"/>
        <n v="915.6556666666668"/>
        <n v="1426.8243243243244"/>
        <n v="1544.65"/>
        <n v="3500.0"/>
        <n v="687.0699999999999"/>
        <n v="2189.06"/>
        <n v="686.9"/>
        <n v="429.35"/>
        <n v="-1.15"/>
        <n v="950.0"/>
        <n v="580.67"/>
        <n v="676.9230769230769"/>
        <n v="334.082"/>
        <n v="920.2258064516129"/>
        <n v="302.95"/>
        <n v="2222.226666666667"/>
        <n v="1111.1066666666668"/>
        <n v="2429.62"/>
        <n v="750.0"/>
        <n v="672.0566666666667"/>
        <n v="233.233"/>
        <n v="7687.5"/>
        <n v="114.95466666666667"/>
        <n v="39.51566666666667"/>
        <n v="103.45800000000001"/>
        <n v="2368.4210526315787"/>
        <n v="143282.0"/>
      </sharedItems>
    </cacheField>
    <cacheField name="January FTD">
      <sharedItems containsBlank="1" containsMixedTypes="1" containsNumber="1" containsInteger="1">
        <e v="#N/A"/>
        <m/>
        <n v="344.0"/>
        <n v="0.0"/>
      </sharedItems>
    </cacheField>
    <cacheField name="February FTD">
      <sharedItems containsBlank="1" containsMixedTypes="1" containsNumber="1" containsInteger="1">
        <e v="#N/A"/>
        <m/>
        <n v="0.0"/>
        <n v="297.0"/>
      </sharedItems>
    </cacheField>
    <cacheField name="March FTD">
      <sharedItems containsBlank="1" containsMixedTypes="1" containsNumber="1" containsInteger="1">
        <e v="#N/A"/>
        <m/>
        <n v="0.0"/>
        <n v="331.0"/>
      </sharedItems>
    </cacheField>
    <cacheField name="April FTD">
      <sharedItems containsBlank="1" containsMixedTypes="1" containsNumber="1" containsInteger="1">
        <e v="#N/A"/>
        <m/>
        <n v="0.0"/>
        <n v="310.0"/>
      </sharedItems>
    </cacheField>
    <cacheField name="May FTD">
      <sharedItems containsBlank="1" containsMixedTypes="1" containsNumber="1" containsInteger="1">
        <e v="#N/A"/>
        <m/>
        <n v="0.0"/>
        <n v="406.0"/>
      </sharedItems>
    </cacheField>
    <cacheField name="June FTD">
      <sharedItems containsMixedTypes="1" containsNumber="1" containsInteger="1">
        <e v="#N/A"/>
        <n v="0.0"/>
        <n v="424.0"/>
      </sharedItems>
    </cacheField>
    <cacheField name="January NGR">
      <sharedItems containsBlank="1" containsMixedTypes="1" containsNumber="1" containsInteger="1">
        <m/>
        <e v="#N/A"/>
        <n v="772.0"/>
      </sharedItems>
    </cacheField>
    <cacheField name="February NGR">
      <sharedItems containsBlank="1" containsMixedTypes="1" containsNumber="1" containsInteger="1">
        <m/>
        <e v="#N/A"/>
        <n v="-17898.0"/>
      </sharedItems>
    </cacheField>
    <cacheField name="March NGR">
      <sharedItems containsBlank="1" containsMixedTypes="1" containsNumber="1" containsInteger="1">
        <m/>
        <e v="#N/A"/>
        <n v="191020.0"/>
      </sharedItems>
    </cacheField>
    <cacheField name="April NGR">
      <sharedItems containsBlank="1" containsMixedTypes="1" containsNumber="1" containsInteger="1">
        <m/>
        <e v="#N/A"/>
        <n v="110684.0"/>
      </sharedItems>
    </cacheField>
    <cacheField name="May NGR">
      <sharedItems containsBlank="1" containsMixedTypes="1" containsNumber="1" containsInteger="1">
        <m/>
        <e v="#N/A"/>
        <n v="100776.0"/>
      </sharedItems>
    </cacheField>
    <cacheField name="June NGR">
      <sharedItems containsBlank="1" containsMixedTypes="1" containsNumber="1" containsInteger="1">
        <m/>
        <e v="#N/A"/>
        <n v="8656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 Accrued" cacheId="0" dataCaption="" compact="0" compactData="0">
  <location ref="AF2:AK3" firstHeaderRow="0" firstDataRow="1" firstDataCol="0"/>
  <pivotFields>
    <pivotField name="Affilia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January accrued cost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June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January FTD" compact="0" outline="0" multipleItemSelectionAllowed="1" showAll="0">
      <items>
        <item x="0"/>
        <item x="1"/>
        <item x="2"/>
        <item x="3"/>
        <item t="default"/>
      </items>
    </pivotField>
    <pivotField name="February FTD" compact="0" outline="0" multipleItemSelectionAllowed="1" showAll="0">
      <items>
        <item x="0"/>
        <item x="1"/>
        <item x="2"/>
        <item x="3"/>
        <item t="default"/>
      </items>
    </pivotField>
    <pivotField name="March FTD" compact="0" outline="0" multipleItemSelectionAllowed="1" showAll="0">
      <items>
        <item x="0"/>
        <item x="1"/>
        <item x="2"/>
        <item x="3"/>
        <item t="default"/>
      </items>
    </pivotField>
    <pivotField name="April FTD" compact="0" outline="0" multipleItemSelectionAllowed="1" showAll="0">
      <items>
        <item x="0"/>
        <item x="1"/>
        <item x="2"/>
        <item x="3"/>
        <item t="default"/>
      </items>
    </pivotField>
    <pivotField name="May FTD" compact="0" outline="0" multipleItemSelectionAllowed="1" showAll="0">
      <items>
        <item x="0"/>
        <item x="1"/>
        <item x="2"/>
        <item x="3"/>
        <item t="default"/>
      </items>
    </pivotField>
    <pivotField name="June FTD" compact="0" outline="0" multipleItemSelectionAllowed="1" showAll="0">
      <items>
        <item x="0"/>
        <item x="1"/>
        <item x="2"/>
        <item x="3"/>
        <item t="default"/>
      </items>
    </pivotField>
  </pivotFields>
  <colFields>
    <field x="-2"/>
  </colFields>
  <dataFields>
    <dataField name="Jan  costs " fld="11" baseField="0"/>
    <dataField name="Feb  costs" fld="12" baseField="0"/>
    <dataField name="Mar  costs" fld="13" baseField="0"/>
    <dataField name="Apr  costs" fld="14" baseField="0"/>
    <dataField name="May  costs " fld="15" baseField="0"/>
    <dataField name="June costs" fld="16" baseField="0"/>
  </dataFields>
</pivotTableDefinition>
</file>

<file path=xl/pivotTables/pivotTable2.xml><?xml version="1.0" encoding="utf-8"?>
<pivotTableDefinition xmlns="http://schemas.openxmlformats.org/spreadsheetml/2006/main" name="Data Accrued 2" cacheId="1" dataCaption="" compact="0" compactData="0">
  <location ref="AO2:AU11" firstHeaderRow="0" firstDataRow="2" firstDataCol="0"/>
  <pivotFields>
    <pivotField name="Affilia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" axis="axisRow" compact="0" outline="0" multipleItemSelectionAllowed="1" showAll="0" sortType="ascending">
      <items>
        <item x="2"/>
        <item x="3"/>
        <item x="7"/>
        <item x="1"/>
        <item x="4"/>
        <item x="0"/>
        <item x="6"/>
        <item x="5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January accrued cos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June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uary FTD" compact="0" outline="0" multipleItemSelectionAllowed="1" showAll="0">
      <items>
        <item x="0"/>
        <item x="1"/>
        <item x="2"/>
        <item x="3"/>
        <item t="default"/>
      </items>
    </pivotField>
    <pivotField name="February FTD" compact="0" outline="0" multipleItemSelectionAllowed="1" showAll="0">
      <items>
        <item x="0"/>
        <item x="1"/>
        <item x="2"/>
        <item x="3"/>
        <item t="default"/>
      </items>
    </pivotField>
    <pivotField name="March FTD" compact="0" outline="0" multipleItemSelectionAllowed="1" showAll="0">
      <items>
        <item x="0"/>
        <item x="1"/>
        <item x="2"/>
        <item x="3"/>
        <item t="default"/>
      </items>
    </pivotField>
    <pivotField name="April FTD" compact="0" outline="0" multipleItemSelectionAllowed="1" showAll="0">
      <items>
        <item x="0"/>
        <item x="1"/>
        <item x="2"/>
        <item x="3"/>
        <item t="default"/>
      </items>
    </pivotField>
    <pivotField name="May FTD" compact="0" outline="0" multipleItemSelectionAllowed="1" showAll="0">
      <items>
        <item x="0"/>
        <item x="1"/>
        <item x="2"/>
        <item x="3"/>
        <item t="default"/>
      </items>
    </pivotField>
    <pivotField name="June FTD" compact="0" outline="0" multipleItemSelectionAllowed="1" showAll="0">
      <items>
        <item x="0"/>
        <item x="1"/>
        <item x="2"/>
        <item t="default"/>
      </items>
    </pivotField>
    <pivotField name="January NGR" dataField="1" compact="0" outline="0" multipleItemSelectionAllowed="1" showAll="0">
      <items>
        <item x="0"/>
        <item x="1"/>
        <item x="2"/>
        <item t="default"/>
      </items>
    </pivotField>
    <pivotField name="February NGR" dataField="1" compact="0" outline="0" multipleItemSelectionAllowed="1" showAll="0">
      <items>
        <item x="0"/>
        <item x="1"/>
        <item x="2"/>
        <item t="default"/>
      </items>
    </pivotField>
    <pivotField name="March NGR" dataField="1" compact="0" outline="0" multipleItemSelectionAllowed="1" showAll="0">
      <items>
        <item x="0"/>
        <item x="1"/>
        <item x="2"/>
        <item t="default"/>
      </items>
    </pivotField>
    <pivotField name="April NGR" dataField="1" compact="0" outline="0" multipleItemSelectionAllowed="1" showAll="0">
      <items>
        <item x="0"/>
        <item x="1"/>
        <item x="2"/>
        <item t="default"/>
      </items>
    </pivotField>
    <pivotField name="May NGR" dataField="1" compact="0" outline="0" multipleItemSelectionAllowed="1" showAll="0">
      <items>
        <item x="0"/>
        <item x="1"/>
        <item x="2"/>
        <item t="default"/>
      </items>
    </pivotField>
    <pivotField name="June NGR" dataField="1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-2"/>
  </colFields>
  <dataFields>
    <dataField name="January NGR " fld="23" baseField="0"/>
    <dataField name=" February NGR" fld="24" baseField="0"/>
    <dataField name=" March NGR" fld="25" baseField="0"/>
    <dataField name=" April NGR" fld="26" baseField="0"/>
    <dataField name=" May NGR" fld="27" baseField="0"/>
    <dataField name=" June NGR" fld="28" baseField="0"/>
  </dataFields>
</pivotTableDefinition>
</file>

<file path=xl/pivotTables/pivotTable3.xml><?xml version="1.0" encoding="utf-8"?>
<pivotTableDefinition xmlns="http://schemas.openxmlformats.org/spreadsheetml/2006/main" name="Data Accrued 3" cacheId="0" dataCaption="" compact="0" compactData="0">
  <location ref="AF4:AK5" firstHeaderRow="0" firstDataRow="1" firstDataCol="0"/>
  <pivotFields>
    <pivotField name="Affilia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January accrued cos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June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January FTD" dataField="1" compact="0" outline="0" multipleItemSelectionAllowed="1" showAll="0">
      <items>
        <item x="0"/>
        <item x="1"/>
        <item x="2"/>
        <item x="3"/>
        <item t="default"/>
      </items>
    </pivotField>
    <pivotField name="February FTD" dataField="1" compact="0" outline="0" multipleItemSelectionAllowed="1" showAll="0">
      <items>
        <item x="0"/>
        <item x="1"/>
        <item x="2"/>
        <item x="3"/>
        <item t="default"/>
      </items>
    </pivotField>
    <pivotField name="March FTD" dataField="1" compact="0" outline="0" multipleItemSelectionAllowed="1" showAll="0">
      <items>
        <item x="0"/>
        <item x="1"/>
        <item x="2"/>
        <item x="3"/>
        <item t="default"/>
      </items>
    </pivotField>
    <pivotField name="April FTD" dataField="1" compact="0" outline="0" multipleItemSelectionAllowed="1" showAll="0">
      <items>
        <item x="0"/>
        <item x="1"/>
        <item x="2"/>
        <item x="3"/>
        <item t="default"/>
      </items>
    </pivotField>
    <pivotField name="May FTD" dataField="1" compact="0" outline="0" multipleItemSelectionAllowed="1" showAll="0">
      <items>
        <item x="0"/>
        <item x="1"/>
        <item x="2"/>
        <item x="3"/>
        <item t="default"/>
      </items>
    </pivotField>
    <pivotField name="June FTD" dataField="1" compact="0" outline="0" multipleItemSelectionAllowed="1" showAll="0">
      <items>
        <item x="0"/>
        <item x="1"/>
        <item x="2"/>
        <item x="3"/>
        <item t="default"/>
      </items>
    </pivotField>
  </pivotFields>
  <colFields>
    <field x="-2"/>
  </colFields>
  <dataFields>
    <dataField name="Jan FTD" fld="17" baseField="0"/>
    <dataField name="Feb FTD" fld="18" baseField="0"/>
    <dataField name="Mar FTD" fld="19" baseField="0"/>
    <dataField name="Apr FTD" fld="20" baseField="0"/>
    <dataField name="May FTD " fld="21" baseField="0"/>
    <dataField name="June FTD " fld="22" baseField="0"/>
  </dataFields>
</pivotTableDefinition>
</file>

<file path=xl/pivotTables/pivotTable4.xml><?xml version="1.0" encoding="utf-8"?>
<pivotTableDefinition xmlns="http://schemas.openxmlformats.org/spreadsheetml/2006/main" name="Data Accrued 4" cacheId="1" dataCaption="" compact="0" compactData="0">
  <location ref="BS5:CE50" firstHeaderRow="0" firstDataRow="2" firstDataCol="0" rowPageCount="1" colPageCount="1"/>
  <pivotFields>
    <pivotField name="Affiliate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  <autoSortScope>
        <pivotArea>
          <references>
            <reference field="4294967294">
              <x v="11"/>
            </reference>
          </references>
        </pivotArea>
      </autoSortScope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" axis="axisPage" compact="0" outline="0" multipleItemSelectionAllowed="1" showAll="0">
      <items>
        <item x="0"/>
        <item x="1"/>
        <item x="2"/>
        <item h="1" x="3"/>
        <item x="4"/>
        <item h="1" x="5"/>
        <item x="6"/>
        <item h="1" x="7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January accrued cost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June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uary FTD" dataField="1" compact="0" outline="0" multipleItemSelectionAllowed="1" showAll="0">
      <items>
        <item x="0"/>
        <item x="1"/>
        <item x="2"/>
        <item x="3"/>
        <item t="default"/>
      </items>
    </pivotField>
    <pivotField name="February FTD" dataField="1" compact="0" outline="0" multipleItemSelectionAllowed="1" showAll="0">
      <items>
        <item x="0"/>
        <item x="1"/>
        <item x="2"/>
        <item x="3"/>
        <item t="default"/>
      </items>
    </pivotField>
    <pivotField name="March FTD" dataField="1" compact="0" outline="0" multipleItemSelectionAllowed="1" showAll="0">
      <items>
        <item x="0"/>
        <item x="1"/>
        <item x="2"/>
        <item x="3"/>
        <item t="default"/>
      </items>
    </pivotField>
    <pivotField name="April FTD" dataField="1" compact="0" outline="0" multipleItemSelectionAllowed="1" showAll="0">
      <items>
        <item x="0"/>
        <item x="1"/>
        <item x="2"/>
        <item x="3"/>
        <item t="default"/>
      </items>
    </pivotField>
    <pivotField name="May FTD" dataField="1" compact="0" outline="0" multipleItemSelectionAllowed="1" showAll="0">
      <items>
        <item x="0"/>
        <item x="1"/>
        <item x="2"/>
        <item x="3"/>
        <item t="default"/>
      </items>
    </pivotField>
    <pivotField name="June FTD" dataField="1" compact="0" outline="0" multipleItemSelectionAllowed="1" showAll="0">
      <items>
        <item x="0"/>
        <item x="1"/>
        <item x="2"/>
        <item t="default"/>
      </items>
    </pivotField>
    <pivotField name="January NGR" compact="0" outline="0" multipleItemSelectionAllowed="1" showAll="0">
      <items>
        <item x="0"/>
        <item x="1"/>
        <item x="2"/>
        <item t="default"/>
      </items>
    </pivotField>
    <pivotField name="February NGR" compact="0" outline="0" multipleItemSelectionAllowed="1" showAll="0">
      <items>
        <item x="0"/>
        <item x="1"/>
        <item x="2"/>
        <item t="default"/>
      </items>
    </pivotField>
    <pivotField name="March NGR" compact="0" outline="0" multipleItemSelectionAllowed="1" showAll="0">
      <items>
        <item x="0"/>
        <item x="1"/>
        <item x="2"/>
        <item t="default"/>
      </items>
    </pivotField>
    <pivotField name="April NGR" compact="0" outline="0" multipleItemSelectionAllowed="1" showAll="0">
      <items>
        <item x="0"/>
        <item x="1"/>
        <item x="2"/>
        <item t="default"/>
      </items>
    </pivotField>
    <pivotField name="May NGR" compact="0" outline="0" multipleItemSelectionAllowed="1" showAll="0">
      <items>
        <item x="0"/>
        <item x="1"/>
        <item x="2"/>
        <item t="default"/>
      </items>
    </pivotField>
    <pivotField name="June NGR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pageFields>
    <pageField fld="8"/>
  </pageFields>
  <dataFields>
    <dataField name=" January accrued costs" fld="11" baseField="0"/>
    <dataField name=" February accrued costs" fld="12" baseField="0"/>
    <dataField name=" March accrued costs" fld="13" baseField="0"/>
    <dataField name=" April accrued costs" fld="14" baseField="0"/>
    <dataField name=" May accrued costs" fld="15" baseField="0"/>
    <dataField name=" June accrued costs" fld="16" baseField="0"/>
    <dataField name="Sum of January FTD" fld="17" baseField="0"/>
    <dataField name="Sum of February FTD" fld="18" baseField="0"/>
    <dataField name="Sum of March FTD" fld="19" baseField="0"/>
    <dataField name="Sum of April FTD" fld="20" baseField="0"/>
    <dataField name="Sum of May FTD" fld="21" baseField="0"/>
    <dataField name="Sum of June FTD" fld="22" baseField="0"/>
  </dataFields>
</pivotTableDefinition>
</file>

<file path=xl/pivotTables/pivotTable5.xml><?xml version="1.0" encoding="utf-8"?>
<pivotTableDefinition xmlns="http://schemas.openxmlformats.org/spreadsheetml/2006/main" name="Data Accrued 5" cacheId="0" dataCaption="" compact="0" compactData="0">
  <location ref="AE10:AE19" firstHeaderRow="0" firstDataRow="2" firstDataCol="0"/>
  <pivotFields>
    <pivotField name="Affilia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" axis="axisRow" compact="0" outline="0" multipleItemSelectionAllowed="1" showAll="0" sortType="ascending">
      <items>
        <item x="2"/>
        <item x="3"/>
        <item x="7"/>
        <item x="1"/>
        <item x="4"/>
        <item x="0"/>
        <item x="6"/>
        <item x="5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January accrued cost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June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January FTD" compact="0" outline="0" multipleItemSelectionAllowed="1" showAll="0">
      <items>
        <item x="0"/>
        <item x="1"/>
        <item x="2"/>
        <item x="3"/>
        <item t="default"/>
      </items>
    </pivotField>
    <pivotField name="February FTD" compact="0" outline="0" multipleItemSelectionAllowed="1" showAll="0">
      <items>
        <item x="0"/>
        <item x="1"/>
        <item x="2"/>
        <item x="3"/>
        <item t="default"/>
      </items>
    </pivotField>
    <pivotField name="March FTD" compact="0" outline="0" multipleItemSelectionAllowed="1" showAll="0">
      <items>
        <item x="0"/>
        <item x="1"/>
        <item x="2"/>
        <item x="3"/>
        <item t="default"/>
      </items>
    </pivotField>
    <pivotField name="April FTD" compact="0" outline="0" multipleItemSelectionAllowed="1" showAll="0">
      <items>
        <item x="0"/>
        <item x="1"/>
        <item x="2"/>
        <item x="3"/>
        <item t="default"/>
      </items>
    </pivotField>
    <pivotField name="May FTD" compact="0" outline="0" multipleItemSelectionAllowed="1" showAll="0">
      <items>
        <item x="0"/>
        <item x="1"/>
        <item x="2"/>
        <item x="3"/>
        <item t="default"/>
      </items>
    </pivotField>
    <pivotField name="June FT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colFields>
    <field x="-2"/>
  </colFields>
  <dataFields>
    <dataField name="Jan  costs " fld="11" baseField="0"/>
    <dataField name="Feb  costs" fld="12" baseField="0"/>
    <dataField name="Mar  costs" fld="13" baseField="0"/>
    <dataField name="Apr  costs" fld="14" baseField="0"/>
    <dataField name="May  costs " fld="15" baseField="0"/>
    <dataField name="June costs " fld="16" baseField="0"/>
  </dataFields>
</pivotTableDefinition>
</file>

<file path=xl/pivotTables/pivotTable6.xml><?xml version="1.0" encoding="utf-8"?>
<pivotTableDefinition xmlns="http://schemas.openxmlformats.org/spreadsheetml/2006/main" name="Data Accrued 6" cacheId="1" dataCaption="" compact="0" compactData="0">
  <location ref="AO15:AU60" firstHeaderRow="0" firstDataRow="2" firstDataCol="0" rowPageCount="1" colPageCount="1"/>
  <pivotFields>
    <pivotField name="Affiliate Name" axis="axisRow" compact="0" outline="0" multipleItemSelectionAllowed="1" showAll="0" sortType="ascending">
      <items>
        <item x="45"/>
        <item x="74"/>
        <item x="8"/>
        <item x="62"/>
        <item x="66"/>
        <item x="39"/>
        <item x="13"/>
        <item x="48"/>
        <item x="0"/>
        <item x="87"/>
        <item x="60"/>
        <item x="71"/>
        <item x="78"/>
        <item x="7"/>
        <item x="80"/>
        <item x="40"/>
        <item x="42"/>
        <item x="2"/>
        <item x="79"/>
        <item x="34"/>
        <item x="9"/>
        <item x="83"/>
        <item x="84"/>
        <item x="58"/>
        <item x="63"/>
        <item x="51"/>
        <item x="44"/>
        <item x="5"/>
        <item x="76"/>
        <item x="75"/>
        <item x="38"/>
        <item x="54"/>
        <item x="50"/>
        <item x="70"/>
        <item x="36"/>
        <item x="81"/>
        <item x="56"/>
        <item x="82"/>
        <item x="43"/>
        <item x="64"/>
        <item x="14"/>
        <item x="68"/>
        <item x="88"/>
        <item x="59"/>
        <item x="20"/>
        <item x="15"/>
        <item x="19"/>
        <item x="52"/>
        <item x="16"/>
        <item x="72"/>
        <item x="53"/>
        <item x="41"/>
        <item x="31"/>
        <item x="32"/>
        <item x="37"/>
        <item x="86"/>
        <item x="4"/>
        <item x="57"/>
        <item x="22"/>
        <item x="30"/>
        <item x="10"/>
        <item x="6"/>
        <item x="33"/>
        <item x="46"/>
        <item x="1"/>
        <item x="23"/>
        <item x="18"/>
        <item x="85"/>
        <item x="29"/>
        <item x="47"/>
        <item x="55"/>
        <item x="65"/>
        <item x="61"/>
        <item x="28"/>
        <item x="3"/>
        <item x="25"/>
        <item x="69"/>
        <item x="67"/>
        <item x="12"/>
        <item x="35"/>
        <item x="21"/>
        <item x="11"/>
        <item x="27"/>
        <item x="49"/>
        <item x="77"/>
        <item x="73"/>
        <item x="24"/>
        <item x="26"/>
        <item x="1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January accrued cost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June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uary FTD" compact="0" outline="0" multipleItemSelectionAllowed="1" showAll="0">
      <items>
        <item x="0"/>
        <item x="1"/>
        <item x="2"/>
        <item x="3"/>
        <item t="default"/>
      </items>
    </pivotField>
    <pivotField name="February FTD" compact="0" outline="0" multipleItemSelectionAllowed="1" showAll="0">
      <items>
        <item x="0"/>
        <item x="1"/>
        <item x="2"/>
        <item x="3"/>
        <item t="default"/>
      </items>
    </pivotField>
    <pivotField name="March FTD" compact="0" outline="0" multipleItemSelectionAllowed="1" showAll="0">
      <items>
        <item x="0"/>
        <item x="1"/>
        <item x="2"/>
        <item x="3"/>
        <item t="default"/>
      </items>
    </pivotField>
    <pivotField name="April FTD" compact="0" outline="0" multipleItemSelectionAllowed="1" showAll="0">
      <items>
        <item x="0"/>
        <item x="1"/>
        <item x="2"/>
        <item x="3"/>
        <item t="default"/>
      </items>
    </pivotField>
    <pivotField name="May FTD" compact="0" outline="0" multipleItemSelectionAllowed="1" showAll="0">
      <items>
        <item x="0"/>
        <item x="1"/>
        <item x="2"/>
        <item x="3"/>
        <item t="default"/>
      </items>
    </pivotField>
    <pivotField name="June FTD" compact="0" outline="0" multipleItemSelectionAllowed="1" showAll="0">
      <items>
        <item x="0"/>
        <item x="1"/>
        <item x="2"/>
        <item t="default"/>
      </items>
    </pivotField>
    <pivotField name="January NGR" compact="0" outline="0" multipleItemSelectionAllowed="1" showAll="0">
      <items>
        <item x="0"/>
        <item x="1"/>
        <item x="2"/>
        <item t="default"/>
      </items>
    </pivotField>
    <pivotField name="February NGR" compact="0" outline="0" multipleItemSelectionAllowed="1" showAll="0">
      <items>
        <item x="0"/>
        <item x="1"/>
        <item x="2"/>
        <item t="default"/>
      </items>
    </pivotField>
    <pivotField name="March NGR" compact="0" outline="0" multipleItemSelectionAllowed="1" showAll="0">
      <items>
        <item x="0"/>
        <item x="1"/>
        <item x="2"/>
        <item t="default"/>
      </items>
    </pivotField>
    <pivotField name="April NGR" compact="0" outline="0" multipleItemSelectionAllowed="1" showAll="0">
      <items>
        <item x="0"/>
        <item x="1"/>
        <item x="2"/>
        <item t="default"/>
      </items>
    </pivotField>
    <pivotField name="May NGR" compact="0" outline="0" multipleItemSelectionAllowed="1" showAll="0">
      <items>
        <item x="0"/>
        <item x="1"/>
        <item x="2"/>
        <item t="default"/>
      </items>
    </pivotField>
    <pivotField name="June NGR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pageFields>
    <pageField fld="8"/>
  </pageFields>
  <dataFields>
    <dataField name=" January accrued costs" fld="11" baseField="0"/>
    <dataField name=" February accrued costs" fld="12" baseField="0"/>
    <dataField name=" March accrued costs" fld="13" baseField="0"/>
    <dataField name=" April accrued costs" fld="14" baseField="0"/>
    <dataField name=" May accrued costs" fld="15" baseField="0"/>
    <dataField name=" June accrued costs" fld="16" baseField="0"/>
  </dataFields>
</pivotTableDefinition>
</file>

<file path=xl/pivotTables/pivotTable7.xml><?xml version="1.0" encoding="utf-8"?>
<pivotTableDefinition xmlns="http://schemas.openxmlformats.org/spreadsheetml/2006/main" name="Data Accrued 7" cacheId="1" dataCaption="" compact="0" compactData="0">
  <location ref="AY15:BE60" firstHeaderRow="0" firstDataRow="2" firstDataCol="0" rowPageCount="1" colPageCount="1"/>
  <pivotFields>
    <pivotField name="Affiliate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  <autoSortScope>
        <pivotArea>
          <references>
            <reference field="4294967294">
              <x v="5"/>
            </reference>
          </references>
        </pivotArea>
      </autoSortScope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January accrued cos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June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uary FTD" dataField="1" compact="0" outline="0" multipleItemSelectionAllowed="1" showAll="0">
      <items>
        <item x="0"/>
        <item x="1"/>
        <item x="2"/>
        <item x="3"/>
        <item t="default"/>
      </items>
    </pivotField>
    <pivotField name="February FTD" dataField="1" compact="0" outline="0" multipleItemSelectionAllowed="1" showAll="0">
      <items>
        <item x="0"/>
        <item x="1"/>
        <item x="2"/>
        <item x="3"/>
        <item t="default"/>
      </items>
    </pivotField>
    <pivotField name="March FTD" dataField="1" compact="0" outline="0" multipleItemSelectionAllowed="1" showAll="0">
      <items>
        <item x="0"/>
        <item x="1"/>
        <item x="2"/>
        <item x="3"/>
        <item t="default"/>
      </items>
    </pivotField>
    <pivotField name="April FTD" dataField="1" compact="0" outline="0" multipleItemSelectionAllowed="1" showAll="0">
      <items>
        <item x="0"/>
        <item x="1"/>
        <item x="2"/>
        <item x="3"/>
        <item t="default"/>
      </items>
    </pivotField>
    <pivotField name="May FTD" dataField="1" compact="0" outline="0" multipleItemSelectionAllowed="1" showAll="0">
      <items>
        <item x="0"/>
        <item x="1"/>
        <item x="2"/>
        <item x="3"/>
        <item t="default"/>
      </items>
    </pivotField>
    <pivotField name="June FTD" dataField="1" compact="0" outline="0" multipleItemSelectionAllowed="1" showAll="0">
      <items>
        <item x="0"/>
        <item x="1"/>
        <item x="2"/>
        <item t="default"/>
      </items>
    </pivotField>
    <pivotField name="January NGR" compact="0" outline="0" multipleItemSelectionAllowed="1" showAll="0">
      <items>
        <item x="0"/>
        <item x="1"/>
        <item x="2"/>
        <item t="default"/>
      </items>
    </pivotField>
    <pivotField name="February NGR" compact="0" outline="0" multipleItemSelectionAllowed="1" showAll="0">
      <items>
        <item x="0"/>
        <item x="1"/>
        <item x="2"/>
        <item t="default"/>
      </items>
    </pivotField>
    <pivotField name="March NGR" compact="0" outline="0" multipleItemSelectionAllowed="1" showAll="0">
      <items>
        <item x="0"/>
        <item x="1"/>
        <item x="2"/>
        <item t="default"/>
      </items>
    </pivotField>
    <pivotField name="April NGR" compact="0" outline="0" multipleItemSelectionAllowed="1" showAll="0">
      <items>
        <item x="0"/>
        <item x="1"/>
        <item x="2"/>
        <item t="default"/>
      </items>
    </pivotField>
    <pivotField name="May NGR" compact="0" outline="0" multipleItemSelectionAllowed="1" showAll="0">
      <items>
        <item x="0"/>
        <item x="1"/>
        <item x="2"/>
        <item t="default"/>
      </items>
    </pivotField>
    <pivotField name="June NGR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pageFields>
    <pageField fld="8"/>
  </pageFields>
  <dataFields>
    <dataField name=" January FTD" fld="17" baseField="0"/>
    <dataField name=" February FTD" fld="18" baseField="0"/>
    <dataField name=" March FTD" fld="19" baseField="0"/>
    <dataField name=" April FTD" fld="20" baseField="0"/>
    <dataField name=" May FTD" fld="21" baseField="0"/>
    <dataField name=" June FTD" fld="22" baseField="0"/>
  </dataFields>
</pivotTableDefinition>
</file>

<file path=xl/pivotTables/pivotTable8.xml><?xml version="1.0" encoding="utf-8"?>
<pivotTableDefinition xmlns="http://schemas.openxmlformats.org/spreadsheetml/2006/main" name="Data Accrued 8" cacheId="0" dataCaption="" compact="0" compactData="0">
  <location ref="AE19:AG28" firstHeaderRow="0" firstDataRow="2" firstDataCol="0"/>
  <pivotFields>
    <pivotField name="Affilia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" axis="axisRow" compact="0" outline="0" multipleItemSelectionAllowed="1" showAll="0" sortType="ascending">
      <items>
        <item x="2"/>
        <item x="3"/>
        <item x="7"/>
        <item x="1"/>
        <item x="4"/>
        <item x="0"/>
        <item x="6"/>
        <item x="5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January accrued cos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June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January FTD" dataField="1" compact="0" outline="0" multipleItemSelectionAllowed="1" showAll="0">
      <items>
        <item x="0"/>
        <item x="1"/>
        <item x="2"/>
        <item x="3"/>
        <item t="default"/>
      </items>
    </pivotField>
    <pivotField name="February FTD" dataField="1" compact="0" outline="0" multipleItemSelectionAllowed="1" showAll="0">
      <items>
        <item x="0"/>
        <item x="1"/>
        <item x="2"/>
        <item x="3"/>
        <item t="default"/>
      </items>
    </pivotField>
    <pivotField name="March FTD" dataField="1" compact="0" outline="0" multipleItemSelectionAllowed="1" showAll="0">
      <items>
        <item x="0"/>
        <item x="1"/>
        <item x="2"/>
        <item x="3"/>
        <item t="default"/>
      </items>
    </pivotField>
    <pivotField name="April FTD" dataField="1" compact="0" outline="0" multipleItemSelectionAllowed="1" showAll="0">
      <items>
        <item x="0"/>
        <item x="1"/>
        <item x="2"/>
        <item x="3"/>
        <item t="default"/>
      </items>
    </pivotField>
    <pivotField name="May FTD" dataField="1" compact="0" outline="0" multipleItemSelectionAllowed="1" showAll="0">
      <items>
        <item x="0"/>
        <item x="1"/>
        <item x="2"/>
        <item x="3"/>
        <item t="default"/>
      </items>
    </pivotField>
    <pivotField name="June FTD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colFields>
    <field x="-2"/>
  </colFields>
  <dataFields>
    <dataField name="Jan FTD" fld="17" baseField="0"/>
    <dataField name="Feb FTD" fld="18" baseField="0"/>
    <dataField name="Mar FTD" fld="19" baseField="0"/>
    <dataField name="Apr FTD" fld="20" baseField="0"/>
    <dataField name="May FTD " fld="21" baseField="0"/>
    <dataField name=" June FTD" fld="22" baseField="0"/>
  </dataFields>
</pivotTableDefinition>
</file>

<file path=xl/pivotTables/pivotTable9.xml><?xml version="1.0" encoding="utf-8"?>
<pivotTableDefinition xmlns="http://schemas.openxmlformats.org/spreadsheetml/2006/main" name="Data Accrued 9" cacheId="0" dataCaption="" compact="0" compactData="0">
  <location ref="AE39:AK44" firstHeaderRow="0" firstDataRow="2" firstDataCol="0"/>
  <pivotFields>
    <pivotField name="Affilia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rtner" axis="axisRow" compact="0" outline="0" multipleItemSelectionAllowed="1" showAll="0" sortType="ascending">
      <items>
        <item h="1" x="6"/>
        <item x="1"/>
        <item x="0"/>
        <item x="5"/>
        <item x="3"/>
        <item h="1" x="2"/>
        <item h="1" x="4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January accrued cost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June accrued co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January FTD" compact="0" outline="0" multipleItemSelectionAllowed="1" showAll="0">
      <items>
        <item x="0"/>
        <item x="1"/>
        <item x="2"/>
        <item x="3"/>
        <item t="default"/>
      </items>
    </pivotField>
    <pivotField name="February FTD" compact="0" outline="0" multipleItemSelectionAllowed="1" showAll="0">
      <items>
        <item x="0"/>
        <item x="1"/>
        <item x="2"/>
        <item x="3"/>
        <item t="default"/>
      </items>
    </pivotField>
    <pivotField name="March FTD" compact="0" outline="0" multipleItemSelectionAllowed="1" showAll="0">
      <items>
        <item x="0"/>
        <item x="1"/>
        <item x="2"/>
        <item x="3"/>
        <item t="default"/>
      </items>
    </pivotField>
    <pivotField name="April FTD" compact="0" outline="0" multipleItemSelectionAllowed="1" showAll="0">
      <items>
        <item x="0"/>
        <item x="1"/>
        <item x="2"/>
        <item x="3"/>
        <item t="default"/>
      </items>
    </pivotField>
    <pivotField name="May FTD" compact="0" outline="0" multipleItemSelectionAllowed="1" showAll="0">
      <items>
        <item x="0"/>
        <item x="1"/>
        <item x="2"/>
        <item x="3"/>
        <item t="default"/>
      </items>
    </pivotField>
    <pivotField name="June FT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Jan  costs " fld="11" baseField="0"/>
    <dataField name="Feb  costs" fld="12" baseField="0"/>
    <dataField name="Mar  costs" fld="13" baseField="0"/>
    <dataField name="Apr  costs" fld="14" baseField="0"/>
    <dataField name="May  costs " fld="15" baseField="0"/>
    <dataField name="June costs " fld="16" baseField="0"/>
  </dataFields>
</pivotTableDefinition>
</file>

<file path=xl/pivotTables/pivotTable10.xml><?xml version="1.0" encoding="utf-8"?>
<pivotTableDefinition xmlns="http://schemas.openxmlformats.org/spreadsheetml/2006/main" name="Data Accrued 10" cacheId="0" dataCaption="" compact="0" compactData="0">
  <location ref="AE48:AK53" firstHeaderRow="0" firstDataRow="2" firstDataCol="0"/>
  <pivotFields>
    <pivotField name="Affiliat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Deal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ffiliate 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rtner" axis="axisRow" compact="0" outline="0" multipleItemSelectionAllowed="1" showAll="0" sortType="ascending">
      <items>
        <item h="1" x="6"/>
        <item x="1"/>
        <item x="0"/>
        <item x="5"/>
        <item x="3"/>
        <item h="1" x="2"/>
        <item h="1" x="4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rt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January accrued cos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bruar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rch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pril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y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June accrued c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January FTD" dataField="1" compact="0" outline="0" multipleItemSelectionAllowed="1" showAll="0">
      <items>
        <item x="0"/>
        <item x="1"/>
        <item x="2"/>
        <item x="3"/>
        <item t="default"/>
      </items>
    </pivotField>
    <pivotField name="February FTD" dataField="1" compact="0" outline="0" multipleItemSelectionAllowed="1" showAll="0">
      <items>
        <item x="0"/>
        <item x="1"/>
        <item x="2"/>
        <item x="3"/>
        <item t="default"/>
      </items>
    </pivotField>
    <pivotField name="March FTD" dataField="1" compact="0" outline="0" multipleItemSelectionAllowed="1" showAll="0">
      <items>
        <item x="0"/>
        <item x="1"/>
        <item x="2"/>
        <item x="3"/>
        <item t="default"/>
      </items>
    </pivotField>
    <pivotField name="April FTD" dataField="1" compact="0" outline="0" multipleItemSelectionAllowed="1" showAll="0">
      <items>
        <item x="0"/>
        <item x="1"/>
        <item x="2"/>
        <item x="3"/>
        <item t="default"/>
      </items>
    </pivotField>
    <pivotField name="May FTD" dataField="1" compact="0" outline="0" multipleItemSelectionAllowed="1" showAll="0">
      <items>
        <item x="0"/>
        <item x="1"/>
        <item x="2"/>
        <item x="3"/>
        <item t="default"/>
      </items>
    </pivotField>
    <pivotField name="June FTD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Jan FTD" fld="17" baseField="0"/>
    <dataField name="Feb FTD" fld="18" baseField="0"/>
    <dataField name="Mar FTD" fld="19" baseField="0"/>
    <dataField name="Apr FTD" fld="20" baseField="0"/>
    <dataField name="May FTD " fld="21" baseField="0"/>
    <dataField name=" June FTD" fld="2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0.xml"/><Relationship Id="rId10" Type="http://schemas.openxmlformats.org/officeDocument/2006/relationships/pivotTable" Target="../pivotTables/pivotTable9.xm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3.xml"/><Relationship Id="rId1" Type="http://schemas.openxmlformats.org/officeDocument/2006/relationships/comments" Target="../comments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9" Type="http://schemas.openxmlformats.org/officeDocument/2006/relationships/pivotTable" Target="../pivotTables/pivotTable8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pivotTable" Target="../pivotTables/pivotTable6.xml"/><Relationship Id="rId8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14"/>
    <col customWidth="1" min="2" max="2" width="12.29"/>
    <col customWidth="1" min="3" max="3" width="15.43"/>
    <col customWidth="1" min="4" max="4" width="27.14"/>
    <col customWidth="1" min="5" max="5" width="12.57"/>
    <col customWidth="1" min="6" max="6" width="19.71"/>
    <col customWidth="1" min="7" max="7" width="11.86"/>
    <col customWidth="1" min="8" max="8" width="20.29"/>
    <col customWidth="1" min="9" max="9" width="16.43"/>
    <col customWidth="1" min="10" max="10" width="18.57"/>
    <col customWidth="1" min="11" max="11" width="14.14"/>
    <col customWidth="1" min="12" max="12" width="122.43"/>
    <col customWidth="1" min="13" max="13" width="10.14"/>
    <col customWidth="1" min="14" max="26" width="8.86"/>
  </cols>
  <sheetData>
    <row r="1" ht="18.0" customHeight="1">
      <c r="A1" s="2" t="s">
        <v>0</v>
      </c>
      <c r="B1" s="2" t="s">
        <v>1</v>
      </c>
      <c r="C1" s="2" t="s">
        <v>2</v>
      </c>
      <c r="D1" s="4" t="s">
        <v>0</v>
      </c>
      <c r="E1" s="4" t="s">
        <v>3</v>
      </c>
      <c r="F1" s="2" t="s">
        <v>4</v>
      </c>
      <c r="G1" s="2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8" t="s">
        <v>11</v>
      </c>
      <c r="B2" s="9">
        <v>46143.0</v>
      </c>
      <c r="C2" s="11" t="s">
        <v>13</v>
      </c>
      <c r="D2" s="8" t="s">
        <v>11</v>
      </c>
      <c r="E2" s="12" t="s">
        <v>19</v>
      </c>
      <c r="F2" s="9"/>
      <c r="G2" s="11"/>
      <c r="H2" s="13" t="s">
        <v>25</v>
      </c>
      <c r="I2" s="8" t="s">
        <v>28</v>
      </c>
      <c r="J2" s="9">
        <v>46143.0</v>
      </c>
      <c r="K2" s="14">
        <v>46234.0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8" t="s">
        <v>29</v>
      </c>
      <c r="B3" s="9">
        <v>46143.0</v>
      </c>
      <c r="C3" s="18" t="s">
        <v>31</v>
      </c>
      <c r="D3" s="8" t="s">
        <v>29</v>
      </c>
      <c r="E3" s="12" t="s">
        <v>19</v>
      </c>
      <c r="F3" s="9"/>
      <c r="G3" s="11"/>
      <c r="H3" s="13" t="s">
        <v>25</v>
      </c>
      <c r="I3" s="8" t="s">
        <v>28</v>
      </c>
      <c r="J3" s="9">
        <v>46143.0</v>
      </c>
      <c r="K3" s="14">
        <v>46234.0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8" t="s">
        <v>39</v>
      </c>
      <c r="B4" s="9">
        <v>46143.0</v>
      </c>
      <c r="C4" s="11" t="s">
        <v>13</v>
      </c>
      <c r="D4" s="8" t="s">
        <v>39</v>
      </c>
      <c r="E4" s="12" t="s">
        <v>19</v>
      </c>
      <c r="F4" s="9"/>
      <c r="G4" s="11"/>
      <c r="H4" s="13" t="s">
        <v>25</v>
      </c>
      <c r="I4" s="8" t="s">
        <v>28</v>
      </c>
      <c r="J4" s="9">
        <v>46143.0</v>
      </c>
      <c r="K4" s="14">
        <v>46234.0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8" t="s">
        <v>43</v>
      </c>
      <c r="B5" s="9">
        <v>46143.0</v>
      </c>
      <c r="C5" s="11" t="s">
        <v>13</v>
      </c>
      <c r="D5" s="8" t="s">
        <v>43</v>
      </c>
      <c r="E5" s="12" t="s">
        <v>19</v>
      </c>
      <c r="F5" s="9"/>
      <c r="G5" s="11"/>
      <c r="H5" s="13" t="s">
        <v>45</v>
      </c>
      <c r="I5" s="8" t="s">
        <v>28</v>
      </c>
      <c r="J5" s="9">
        <v>46143.0</v>
      </c>
      <c r="K5" s="14">
        <v>46234.0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8" t="s">
        <v>47</v>
      </c>
      <c r="B6" s="9">
        <v>46143.0</v>
      </c>
      <c r="C6" s="11" t="s">
        <v>13</v>
      </c>
      <c r="D6" s="8" t="s">
        <v>47</v>
      </c>
      <c r="E6" s="12" t="s">
        <v>19</v>
      </c>
      <c r="F6" s="9"/>
      <c r="G6" s="11"/>
      <c r="H6" s="13" t="s">
        <v>45</v>
      </c>
      <c r="I6" s="8" t="s">
        <v>28</v>
      </c>
      <c r="J6" s="9">
        <v>46143.0</v>
      </c>
      <c r="K6" s="14">
        <v>46234.0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8" t="s">
        <v>52</v>
      </c>
      <c r="B7" s="9">
        <v>46143.0</v>
      </c>
      <c r="C7" s="11" t="s">
        <v>13</v>
      </c>
      <c r="D7" s="8" t="s">
        <v>52</v>
      </c>
      <c r="E7" s="12" t="s">
        <v>19</v>
      </c>
      <c r="F7" s="9"/>
      <c r="G7" s="11"/>
      <c r="H7" s="13" t="s">
        <v>45</v>
      </c>
      <c r="I7" s="8" t="s">
        <v>28</v>
      </c>
      <c r="J7" s="9">
        <v>46143.0</v>
      </c>
      <c r="K7" s="14">
        <v>46234.0</v>
      </c>
      <c r="L7" s="6" t="s">
        <v>54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8" t="s">
        <v>55</v>
      </c>
      <c r="B8" s="9">
        <v>46038.0</v>
      </c>
      <c r="C8" s="11" t="s">
        <v>13</v>
      </c>
      <c r="D8" s="12" t="s">
        <v>55</v>
      </c>
      <c r="E8" s="12" t="s">
        <v>56</v>
      </c>
      <c r="F8" s="9">
        <v>46038.0</v>
      </c>
      <c r="G8" s="11">
        <v>600.0</v>
      </c>
      <c r="H8" s="8" t="str">
        <f t="shared" ref="H8:H45" si="1">IF(TODAY()&gt;K8,"Finished",IF(TODAY()&lt;J8,"Not Started","Ongoing"))</f>
        <v>Finished</v>
      </c>
      <c r="I8" s="8" t="s">
        <v>28</v>
      </c>
      <c r="J8" s="9">
        <v>46038.0</v>
      </c>
      <c r="K8" s="9">
        <v>46068.0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8" t="s">
        <v>57</v>
      </c>
      <c r="B9" s="9">
        <v>46053.0</v>
      </c>
      <c r="C9" s="11" t="s">
        <v>13</v>
      </c>
      <c r="D9" s="28" t="s">
        <v>57</v>
      </c>
      <c r="E9" s="12" t="s">
        <v>59</v>
      </c>
      <c r="F9" s="9">
        <v>46053.0</v>
      </c>
      <c r="G9" s="29">
        <v>5870.0</v>
      </c>
      <c r="H9" s="8" t="str">
        <f t="shared" si="1"/>
        <v>Finished</v>
      </c>
      <c r="I9" s="8" t="s">
        <v>28</v>
      </c>
      <c r="J9" s="9">
        <v>46023.0</v>
      </c>
      <c r="K9" s="9">
        <v>46053.0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8" t="s">
        <v>60</v>
      </c>
      <c r="B10" s="9">
        <v>46053.0</v>
      </c>
      <c r="C10" s="11" t="s">
        <v>13</v>
      </c>
      <c r="D10" s="12" t="s">
        <v>60</v>
      </c>
      <c r="E10" s="12" t="s">
        <v>61</v>
      </c>
      <c r="F10" s="9">
        <v>46053.0</v>
      </c>
      <c r="G10" s="31">
        <v>4193.0</v>
      </c>
      <c r="H10" s="8" t="str">
        <f t="shared" si="1"/>
        <v>Finished</v>
      </c>
      <c r="I10" s="8" t="s">
        <v>28</v>
      </c>
      <c r="J10" s="9">
        <v>46053.0</v>
      </c>
      <c r="K10" s="9">
        <v>46083.0</v>
      </c>
      <c r="L10" s="6" t="s">
        <v>62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8" t="s">
        <v>63</v>
      </c>
      <c r="B11" s="32">
        <v>46077.0</v>
      </c>
      <c r="C11" s="18" t="s">
        <v>31</v>
      </c>
      <c r="D11" s="33" t="s">
        <v>63</v>
      </c>
      <c r="E11" s="12" t="s">
        <v>61</v>
      </c>
      <c r="F11" s="32">
        <v>46077.0</v>
      </c>
      <c r="G11" s="34">
        <v>2500.0</v>
      </c>
      <c r="H11" s="8" t="str">
        <f t="shared" si="1"/>
        <v>Finished</v>
      </c>
      <c r="I11" s="35" t="s">
        <v>65</v>
      </c>
      <c r="J11" s="9">
        <v>46077.0</v>
      </c>
      <c r="K11" s="9">
        <v>46107.0</v>
      </c>
      <c r="L11" s="6" t="s">
        <v>66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8" t="s">
        <v>63</v>
      </c>
      <c r="B12" s="32">
        <v>46077.0</v>
      </c>
      <c r="C12" s="18" t="s">
        <v>31</v>
      </c>
      <c r="D12" s="33" t="s">
        <v>63</v>
      </c>
      <c r="E12" s="12" t="s">
        <v>68</v>
      </c>
      <c r="F12" s="32">
        <v>46077.0</v>
      </c>
      <c r="G12" s="34">
        <v>2500.0</v>
      </c>
      <c r="H12" s="8" t="str">
        <f t="shared" si="1"/>
        <v>Finished</v>
      </c>
      <c r="I12" s="35" t="s">
        <v>65</v>
      </c>
      <c r="J12" s="9">
        <v>46077.0</v>
      </c>
      <c r="K12" s="9">
        <v>46107.0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8" t="s">
        <v>70</v>
      </c>
      <c r="B13" s="32">
        <v>46077.0</v>
      </c>
      <c r="C13" s="18" t="s">
        <v>31</v>
      </c>
      <c r="D13" s="33" t="s">
        <v>70</v>
      </c>
      <c r="E13" s="12" t="s">
        <v>61</v>
      </c>
      <c r="F13" s="32">
        <v>46077.0</v>
      </c>
      <c r="G13" s="34">
        <v>5518.58</v>
      </c>
      <c r="H13" s="8" t="str">
        <f t="shared" si="1"/>
        <v>Finished</v>
      </c>
      <c r="I13" s="35" t="s">
        <v>65</v>
      </c>
      <c r="J13" s="9">
        <v>46077.0</v>
      </c>
      <c r="K13" s="9">
        <v>46107.0</v>
      </c>
      <c r="L13" s="6" t="s">
        <v>71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8" t="s">
        <v>72</v>
      </c>
      <c r="B14" s="32">
        <v>46077.0</v>
      </c>
      <c r="C14" s="18" t="s">
        <v>31</v>
      </c>
      <c r="D14" s="28" t="s">
        <v>72</v>
      </c>
      <c r="E14" s="12" t="s">
        <v>61</v>
      </c>
      <c r="F14" s="32">
        <v>46077.0</v>
      </c>
      <c r="G14" s="34">
        <v>889.98</v>
      </c>
      <c r="H14" s="8" t="str">
        <f t="shared" si="1"/>
        <v>Finished</v>
      </c>
      <c r="I14" s="8" t="s">
        <v>28</v>
      </c>
      <c r="J14" s="9">
        <v>46077.0</v>
      </c>
      <c r="K14" s="9">
        <v>46107.0</v>
      </c>
      <c r="L14" s="3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8" t="s">
        <v>72</v>
      </c>
      <c r="B15" s="32">
        <v>46077.0</v>
      </c>
      <c r="C15" s="18" t="s">
        <v>31</v>
      </c>
      <c r="D15" s="28" t="s">
        <v>72</v>
      </c>
      <c r="E15" s="12" t="s">
        <v>61</v>
      </c>
      <c r="F15" s="32">
        <v>46077.0</v>
      </c>
      <c r="G15" s="34">
        <v>889.98</v>
      </c>
      <c r="H15" s="8" t="str">
        <f t="shared" si="1"/>
        <v>Finished</v>
      </c>
      <c r="I15" s="8" t="s">
        <v>28</v>
      </c>
      <c r="J15" s="9">
        <v>46077.0</v>
      </c>
      <c r="K15" s="9">
        <v>46107.0</v>
      </c>
      <c r="L15" s="3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8" t="s">
        <v>57</v>
      </c>
      <c r="B16" s="32">
        <v>46081.0</v>
      </c>
      <c r="C16" s="18" t="s">
        <v>31</v>
      </c>
      <c r="D16" s="28" t="s">
        <v>57</v>
      </c>
      <c r="E16" s="12" t="s">
        <v>59</v>
      </c>
      <c r="F16" s="32">
        <v>46081.0</v>
      </c>
      <c r="G16" s="34">
        <v>30156.21</v>
      </c>
      <c r="H16" s="8" t="str">
        <f t="shared" si="1"/>
        <v>Finished</v>
      </c>
      <c r="I16" s="8" t="s">
        <v>28</v>
      </c>
      <c r="J16" s="9">
        <v>46082.0</v>
      </c>
      <c r="K16" s="9">
        <v>46203.0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8" t="s">
        <v>78</v>
      </c>
      <c r="B17" s="32">
        <v>46081.0</v>
      </c>
      <c r="C17" s="18" t="s">
        <v>31</v>
      </c>
      <c r="D17" s="28" t="s">
        <v>78</v>
      </c>
      <c r="E17" s="12" t="s">
        <v>68</v>
      </c>
      <c r="F17" s="32">
        <v>46081.0</v>
      </c>
      <c r="G17" s="34">
        <v>8586.599999999999</v>
      </c>
      <c r="H17" s="8" t="str">
        <f t="shared" si="1"/>
        <v>Finished</v>
      </c>
      <c r="I17" s="8" t="s">
        <v>28</v>
      </c>
      <c r="J17" s="9">
        <v>46081.0</v>
      </c>
      <c r="K17" s="9">
        <v>46111.0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8" t="s">
        <v>80</v>
      </c>
      <c r="B18" s="32">
        <v>46082.0</v>
      </c>
      <c r="C18" s="18" t="s">
        <v>31</v>
      </c>
      <c r="D18" s="37" t="s">
        <v>80</v>
      </c>
      <c r="E18" s="12" t="s">
        <v>61</v>
      </c>
      <c r="F18" s="32">
        <v>46082.0</v>
      </c>
      <c r="G18" s="34">
        <v>1500.0</v>
      </c>
      <c r="H18" s="8" t="str">
        <f t="shared" si="1"/>
        <v>Finished</v>
      </c>
      <c r="I18" s="39" t="s">
        <v>28</v>
      </c>
      <c r="J18" s="9">
        <v>46082.0</v>
      </c>
      <c r="K18" s="9">
        <v>46112.0</v>
      </c>
      <c r="L18" s="3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8" t="s">
        <v>81</v>
      </c>
      <c r="B19" s="32">
        <v>46085.0</v>
      </c>
      <c r="C19" s="18" t="s">
        <v>31</v>
      </c>
      <c r="D19" s="40" t="s">
        <v>81</v>
      </c>
      <c r="E19" s="12" t="s">
        <v>56</v>
      </c>
      <c r="F19" s="32">
        <v>46085.0</v>
      </c>
      <c r="G19" s="34">
        <v>3062.32</v>
      </c>
      <c r="H19" s="8" t="str">
        <f t="shared" si="1"/>
        <v>Finished</v>
      </c>
      <c r="I19" s="8" t="s">
        <v>82</v>
      </c>
      <c r="J19" s="9">
        <v>46085.0</v>
      </c>
      <c r="K19" s="9">
        <v>46115.0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8" t="s">
        <v>83</v>
      </c>
      <c r="B20" s="32">
        <v>46091.0</v>
      </c>
      <c r="C20" s="18" t="s">
        <v>84</v>
      </c>
      <c r="D20" s="28" t="s">
        <v>83</v>
      </c>
      <c r="E20" s="12" t="s">
        <v>56</v>
      </c>
      <c r="F20" s="32">
        <v>46091.0</v>
      </c>
      <c r="G20" s="34">
        <v>400.0</v>
      </c>
      <c r="H20" s="8" t="str">
        <f t="shared" si="1"/>
        <v>Finished</v>
      </c>
      <c r="I20" s="42" t="s">
        <v>28</v>
      </c>
      <c r="J20" s="9">
        <v>46091.0</v>
      </c>
      <c r="K20" s="9">
        <v>46121.0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8" t="s">
        <v>85</v>
      </c>
      <c r="B21" s="32">
        <v>46093.0</v>
      </c>
      <c r="C21" s="18" t="s">
        <v>31</v>
      </c>
      <c r="D21" s="28" t="s">
        <v>85</v>
      </c>
      <c r="E21" s="12" t="s">
        <v>68</v>
      </c>
      <c r="F21" s="32">
        <v>46093.0</v>
      </c>
      <c r="G21" s="34">
        <v>1423.29</v>
      </c>
      <c r="H21" s="8" t="str">
        <f t="shared" si="1"/>
        <v>Finished</v>
      </c>
      <c r="I21" s="8" t="s">
        <v>69</v>
      </c>
      <c r="J21" s="9">
        <v>46093.0</v>
      </c>
      <c r="K21" s="9">
        <v>46213.0</v>
      </c>
      <c r="L21" s="6" t="s">
        <v>86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8" t="s">
        <v>87</v>
      </c>
      <c r="B22" s="32">
        <v>46094.0</v>
      </c>
      <c r="C22" s="18" t="s">
        <v>31</v>
      </c>
      <c r="D22" s="28" t="s">
        <v>87</v>
      </c>
      <c r="E22" s="12" t="s">
        <v>68</v>
      </c>
      <c r="F22" s="32">
        <v>46094.0</v>
      </c>
      <c r="G22" s="34"/>
      <c r="H22" s="8" t="str">
        <f t="shared" si="1"/>
        <v>Finished</v>
      </c>
      <c r="I22" s="8" t="s">
        <v>69</v>
      </c>
      <c r="J22" s="9">
        <v>46094.0</v>
      </c>
      <c r="K22" s="9">
        <v>46124.0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8" t="s">
        <v>88</v>
      </c>
      <c r="B23" s="32">
        <v>46094.0</v>
      </c>
      <c r="C23" s="18" t="s">
        <v>31</v>
      </c>
      <c r="D23" s="28" t="s">
        <v>88</v>
      </c>
      <c r="E23" s="12" t="s">
        <v>68</v>
      </c>
      <c r="F23" s="32">
        <v>46094.0</v>
      </c>
      <c r="G23" s="34">
        <v>2700.59</v>
      </c>
      <c r="H23" s="8" t="str">
        <f t="shared" si="1"/>
        <v>Finished</v>
      </c>
      <c r="I23" s="8" t="s">
        <v>69</v>
      </c>
      <c r="J23" s="9">
        <v>46094.0</v>
      </c>
      <c r="K23" s="9">
        <v>46124.0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8" t="s">
        <v>89</v>
      </c>
      <c r="B24" s="32">
        <v>46094.0</v>
      </c>
      <c r="C24" s="18" t="s">
        <v>31</v>
      </c>
      <c r="D24" s="28" t="s">
        <v>89</v>
      </c>
      <c r="E24" s="12" t="s">
        <v>68</v>
      </c>
      <c r="F24" s="32">
        <v>46094.0</v>
      </c>
      <c r="G24" s="34">
        <v>3479.61</v>
      </c>
      <c r="H24" s="8" t="str">
        <f t="shared" si="1"/>
        <v>Finished</v>
      </c>
      <c r="I24" s="8" t="s">
        <v>69</v>
      </c>
      <c r="J24" s="9">
        <v>46094.0</v>
      </c>
      <c r="K24" s="9">
        <v>46124.0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8" t="s">
        <v>90</v>
      </c>
      <c r="B25" s="32">
        <v>46094.0</v>
      </c>
      <c r="C25" s="18" t="s">
        <v>31</v>
      </c>
      <c r="D25" s="33" t="s">
        <v>90</v>
      </c>
      <c r="E25" s="12" t="s">
        <v>68</v>
      </c>
      <c r="F25" s="32">
        <v>46094.0</v>
      </c>
      <c r="G25" s="34"/>
      <c r="H25" s="8" t="str">
        <f t="shared" si="1"/>
        <v>Finished</v>
      </c>
      <c r="I25" s="8" t="s">
        <v>69</v>
      </c>
      <c r="J25" s="9">
        <v>46094.0</v>
      </c>
      <c r="K25" s="9">
        <v>46124.0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8" t="s">
        <v>91</v>
      </c>
      <c r="B26" s="32">
        <v>46098.0</v>
      </c>
      <c r="C26" s="18" t="s">
        <v>31</v>
      </c>
      <c r="D26" s="28" t="s">
        <v>91</v>
      </c>
      <c r="E26" s="12" t="s">
        <v>61</v>
      </c>
      <c r="F26" s="32">
        <v>46098.0</v>
      </c>
      <c r="G26" s="34">
        <v>11000.0</v>
      </c>
      <c r="H26" s="8" t="str">
        <f t="shared" si="1"/>
        <v>Finished</v>
      </c>
      <c r="I26" s="8" t="s">
        <v>92</v>
      </c>
      <c r="J26" s="9">
        <v>46098.0</v>
      </c>
      <c r="K26" s="9">
        <v>46128.0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8" t="s">
        <v>93</v>
      </c>
      <c r="B27" s="32">
        <v>46099.0</v>
      </c>
      <c r="C27" s="18" t="s">
        <v>31</v>
      </c>
      <c r="D27" s="28" t="s">
        <v>93</v>
      </c>
      <c r="E27" s="12" t="s">
        <v>68</v>
      </c>
      <c r="F27" s="32" t="s">
        <v>94</v>
      </c>
      <c r="G27" s="34">
        <v>30850.0</v>
      </c>
      <c r="H27" s="8" t="str">
        <f t="shared" si="1"/>
        <v>Finished</v>
      </c>
      <c r="I27" s="8" t="s">
        <v>69</v>
      </c>
      <c r="J27" s="9">
        <v>46099.0</v>
      </c>
      <c r="K27" s="9">
        <v>46209.0</v>
      </c>
      <c r="L27" s="6" t="s">
        <v>95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8" t="s">
        <v>96</v>
      </c>
      <c r="B28" s="32">
        <v>46100.0</v>
      </c>
      <c r="C28" s="18" t="s">
        <v>31</v>
      </c>
      <c r="D28" s="28" t="s">
        <v>96</v>
      </c>
      <c r="E28" s="12" t="s">
        <v>68</v>
      </c>
      <c r="F28" s="32">
        <v>46100.0</v>
      </c>
      <c r="G28" s="34">
        <v>1663.78</v>
      </c>
      <c r="H28" s="8" t="str">
        <f t="shared" si="1"/>
        <v>Finished</v>
      </c>
      <c r="I28" s="8" t="s">
        <v>69</v>
      </c>
      <c r="J28" s="9">
        <v>46100.0</v>
      </c>
      <c r="K28" s="9">
        <v>46130.0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8" t="s">
        <v>97</v>
      </c>
      <c r="B29" s="32">
        <v>46105.0</v>
      </c>
      <c r="C29" s="18" t="s">
        <v>84</v>
      </c>
      <c r="D29" s="28" t="s">
        <v>97</v>
      </c>
      <c r="E29" s="12" t="s">
        <v>68</v>
      </c>
      <c r="F29" s="32">
        <v>46105.0</v>
      </c>
      <c r="G29" s="34">
        <v>14492.91</v>
      </c>
      <c r="H29" s="8" t="str">
        <f t="shared" si="1"/>
        <v>Finished</v>
      </c>
      <c r="I29" s="8" t="s">
        <v>65</v>
      </c>
      <c r="J29" s="9">
        <v>46097.0</v>
      </c>
      <c r="K29" s="9">
        <v>46129.0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8" t="s">
        <v>98</v>
      </c>
      <c r="B30" s="32">
        <v>46106.0</v>
      </c>
      <c r="C30" s="18" t="s">
        <v>31</v>
      </c>
      <c r="D30" s="28" t="s">
        <v>98</v>
      </c>
      <c r="E30" s="12" t="s">
        <v>56</v>
      </c>
      <c r="F30" s="32">
        <v>46106.0</v>
      </c>
      <c r="G30" s="34">
        <v>1000.0</v>
      </c>
      <c r="H30" s="8" t="str">
        <f t="shared" si="1"/>
        <v>Finished</v>
      </c>
      <c r="I30" s="8" t="s">
        <v>28</v>
      </c>
      <c r="J30" s="9">
        <v>46097.0</v>
      </c>
      <c r="K30" s="9">
        <v>46129.0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8" t="s">
        <v>99</v>
      </c>
      <c r="B31" s="32">
        <v>46108.0</v>
      </c>
      <c r="C31" s="18" t="s">
        <v>31</v>
      </c>
      <c r="D31" s="33" t="s">
        <v>99</v>
      </c>
      <c r="E31" s="12" t="s">
        <v>68</v>
      </c>
      <c r="F31" s="32">
        <v>46108.0</v>
      </c>
      <c r="G31" s="34">
        <v>300.0</v>
      </c>
      <c r="H31" s="8" t="str">
        <f t="shared" si="1"/>
        <v>Finished</v>
      </c>
      <c r="I31" s="8" t="s">
        <v>28</v>
      </c>
      <c r="J31" s="9">
        <v>46097.0</v>
      </c>
      <c r="K31" s="9">
        <v>46129.0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8" t="s">
        <v>100</v>
      </c>
      <c r="B32" s="32">
        <v>46119.0</v>
      </c>
      <c r="C32" s="18" t="s">
        <v>31</v>
      </c>
      <c r="D32" s="28" t="s">
        <v>100</v>
      </c>
      <c r="E32" s="12" t="s">
        <v>68</v>
      </c>
      <c r="F32" s="32">
        <v>46119.0</v>
      </c>
      <c r="G32" s="34">
        <v>900.0</v>
      </c>
      <c r="H32" s="8" t="str">
        <f t="shared" si="1"/>
        <v>Finished</v>
      </c>
      <c r="I32" s="8" t="s">
        <v>69</v>
      </c>
      <c r="J32" s="9">
        <v>46130.0</v>
      </c>
      <c r="K32" s="9">
        <v>46145.0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8" t="s">
        <v>101</v>
      </c>
      <c r="B33" s="45">
        <v>46120.0</v>
      </c>
      <c r="C33" s="46" t="s">
        <v>31</v>
      </c>
      <c r="D33" s="37" t="s">
        <v>101</v>
      </c>
      <c r="E33" s="12" t="s">
        <v>56</v>
      </c>
      <c r="F33" s="45">
        <v>46120.0</v>
      </c>
      <c r="G33" s="47">
        <v>2708.04</v>
      </c>
      <c r="H33" s="8" t="str">
        <f t="shared" si="1"/>
        <v>Finished</v>
      </c>
      <c r="I33" s="8" t="s">
        <v>69</v>
      </c>
      <c r="J33" s="9">
        <v>46121.0</v>
      </c>
      <c r="K33" s="9">
        <v>46141.0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8" t="s">
        <v>102</v>
      </c>
      <c r="B34" s="32">
        <v>46120.0</v>
      </c>
      <c r="C34" s="18" t="s">
        <v>31</v>
      </c>
      <c r="D34" s="28" t="s">
        <v>102</v>
      </c>
      <c r="E34" s="12" t="s">
        <v>68</v>
      </c>
      <c r="F34" s="32">
        <v>46120.0</v>
      </c>
      <c r="G34" s="34">
        <v>2000.0</v>
      </c>
      <c r="H34" s="8" t="str">
        <f t="shared" si="1"/>
        <v>Finished</v>
      </c>
      <c r="I34" s="8" t="s">
        <v>28</v>
      </c>
      <c r="J34" s="9">
        <v>46143.0</v>
      </c>
      <c r="K34" s="9">
        <v>46173.0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8" t="s">
        <v>102</v>
      </c>
      <c r="B35" s="32">
        <v>46120.0</v>
      </c>
      <c r="C35" s="18" t="s">
        <v>31</v>
      </c>
      <c r="D35" s="28" t="s">
        <v>102</v>
      </c>
      <c r="E35" s="12" t="s">
        <v>68</v>
      </c>
      <c r="F35" s="32">
        <v>46120.0</v>
      </c>
      <c r="G35" s="34">
        <v>2000.0</v>
      </c>
      <c r="H35" s="8" t="str">
        <f t="shared" si="1"/>
        <v>Finished</v>
      </c>
      <c r="I35" s="8" t="s">
        <v>28</v>
      </c>
      <c r="J35" s="9">
        <v>46143.0</v>
      </c>
      <c r="K35" s="9">
        <v>46173.0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8" t="s">
        <v>103</v>
      </c>
      <c r="B36" s="32">
        <v>46122.0</v>
      </c>
      <c r="C36" s="18" t="s">
        <v>31</v>
      </c>
      <c r="D36" s="28" t="s">
        <v>103</v>
      </c>
      <c r="E36" s="12" t="s">
        <v>56</v>
      </c>
      <c r="F36" s="32">
        <v>46122.0</v>
      </c>
      <c r="G36" s="34">
        <v>800.0</v>
      </c>
      <c r="H36" s="8" t="str">
        <f t="shared" si="1"/>
        <v>Finished</v>
      </c>
      <c r="I36" s="8" t="s">
        <v>28</v>
      </c>
      <c r="J36" s="9">
        <v>46128.0</v>
      </c>
      <c r="K36" s="9">
        <v>46142.0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8" t="s">
        <v>104</v>
      </c>
      <c r="B37" s="32">
        <v>46128.0</v>
      </c>
      <c r="C37" s="18" t="s">
        <v>31</v>
      </c>
      <c r="D37" s="28" t="s">
        <v>104</v>
      </c>
      <c r="E37" s="12" t="s">
        <v>56</v>
      </c>
      <c r="F37" s="32">
        <v>46128.0</v>
      </c>
      <c r="G37" s="34">
        <v>679.9300000000001</v>
      </c>
      <c r="H37" s="8" t="str">
        <f t="shared" si="1"/>
        <v>Finished</v>
      </c>
      <c r="I37" s="8" t="s">
        <v>69</v>
      </c>
      <c r="J37" s="9">
        <v>46129.0</v>
      </c>
      <c r="K37" s="9">
        <v>46140.0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8" t="s">
        <v>105</v>
      </c>
      <c r="B38" s="32">
        <v>46129.0</v>
      </c>
      <c r="C38" s="18" t="s">
        <v>31</v>
      </c>
      <c r="D38" s="28" t="s">
        <v>105</v>
      </c>
      <c r="E38" s="12" t="s">
        <v>56</v>
      </c>
      <c r="F38" s="32">
        <v>46129.0</v>
      </c>
      <c r="G38" s="34">
        <v>382.1</v>
      </c>
      <c r="H38" s="8" t="str">
        <f t="shared" si="1"/>
        <v>Finished</v>
      </c>
      <c r="I38" s="8" t="s">
        <v>69</v>
      </c>
      <c r="J38" s="9">
        <v>46131.0</v>
      </c>
      <c r="K38" s="9">
        <v>46131.0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8" t="s">
        <v>106</v>
      </c>
      <c r="B39" s="32">
        <v>46135.0</v>
      </c>
      <c r="C39" s="18" t="s">
        <v>31</v>
      </c>
      <c r="D39" s="28" t="s">
        <v>106</v>
      </c>
      <c r="E39" s="12" t="s">
        <v>68</v>
      </c>
      <c r="F39" s="32">
        <v>46135.0</v>
      </c>
      <c r="G39" s="34">
        <v>372.34</v>
      </c>
      <c r="H39" s="8" t="str">
        <f t="shared" si="1"/>
        <v>Finished</v>
      </c>
      <c r="I39" s="8" t="s">
        <v>69</v>
      </c>
      <c r="J39" s="9">
        <v>46139.0</v>
      </c>
      <c r="K39" s="9">
        <v>46145.0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8" t="s">
        <v>107</v>
      </c>
      <c r="B40" s="32">
        <v>46135.0</v>
      </c>
      <c r="C40" s="18" t="s">
        <v>31</v>
      </c>
      <c r="D40" s="28" t="s">
        <v>107</v>
      </c>
      <c r="E40" s="12" t="s">
        <v>56</v>
      </c>
      <c r="F40" s="32">
        <v>46135.0</v>
      </c>
      <c r="G40" s="34">
        <v>361.7</v>
      </c>
      <c r="H40" s="8" t="str">
        <f t="shared" si="1"/>
        <v>Finished</v>
      </c>
      <c r="I40" s="8" t="s">
        <v>69</v>
      </c>
      <c r="J40" s="9">
        <v>46135.0</v>
      </c>
      <c r="K40" s="9">
        <v>46141.0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8" t="s">
        <v>108</v>
      </c>
      <c r="B41" s="32">
        <v>46136.0</v>
      </c>
      <c r="C41" s="18" t="s">
        <v>31</v>
      </c>
      <c r="D41" s="28" t="s">
        <v>108</v>
      </c>
      <c r="E41" s="12" t="s">
        <v>56</v>
      </c>
      <c r="F41" s="32">
        <v>46136.0</v>
      </c>
      <c r="G41" s="34">
        <v>1361.18</v>
      </c>
      <c r="H41" s="8" t="str">
        <f t="shared" si="1"/>
        <v>Finished</v>
      </c>
      <c r="I41" s="8" t="s">
        <v>69</v>
      </c>
      <c r="J41" s="9">
        <v>46137.0</v>
      </c>
      <c r="K41" s="9">
        <v>46143.0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8" t="s">
        <v>109</v>
      </c>
      <c r="B42" s="32">
        <v>46136.0</v>
      </c>
      <c r="C42" s="18" t="s">
        <v>31</v>
      </c>
      <c r="D42" s="28" t="s">
        <v>109</v>
      </c>
      <c r="E42" s="12" t="s">
        <v>56</v>
      </c>
      <c r="F42" s="32">
        <v>46136.0</v>
      </c>
      <c r="G42" s="34">
        <v>1361.18</v>
      </c>
      <c r="H42" s="8" t="str">
        <f t="shared" si="1"/>
        <v>Finished</v>
      </c>
      <c r="I42" s="8" t="s">
        <v>69</v>
      </c>
      <c r="J42" s="9">
        <v>46137.0</v>
      </c>
      <c r="K42" s="9">
        <v>46143.0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8" t="s">
        <v>110</v>
      </c>
      <c r="B43" s="32">
        <v>46136.0</v>
      </c>
      <c r="C43" s="18" t="s">
        <v>31</v>
      </c>
      <c r="D43" s="28" t="s">
        <v>110</v>
      </c>
      <c r="E43" s="12" t="s">
        <v>68</v>
      </c>
      <c r="F43" s="32">
        <v>46029.0</v>
      </c>
      <c r="G43" s="34">
        <v>4000.0</v>
      </c>
      <c r="H43" s="8" t="str">
        <f t="shared" si="1"/>
        <v>Finished</v>
      </c>
      <c r="I43" s="8" t="s">
        <v>69</v>
      </c>
      <c r="J43" s="9">
        <v>46141.0</v>
      </c>
      <c r="K43" s="9">
        <v>46174.0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8" t="s">
        <v>111</v>
      </c>
      <c r="B44" s="32">
        <v>46136.0</v>
      </c>
      <c r="C44" s="18" t="s">
        <v>31</v>
      </c>
      <c r="D44" s="28" t="s">
        <v>111</v>
      </c>
      <c r="E44" s="12" t="s">
        <v>56</v>
      </c>
      <c r="F44" s="32">
        <v>46136.0</v>
      </c>
      <c r="G44" s="34">
        <v>200.0</v>
      </c>
      <c r="H44" s="8" t="str">
        <f t="shared" si="1"/>
        <v>Finished</v>
      </c>
      <c r="I44" s="48" t="s">
        <v>69</v>
      </c>
      <c r="J44" s="9">
        <v>46111.0</v>
      </c>
      <c r="K44" s="9">
        <v>46127.0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8" t="s">
        <v>112</v>
      </c>
      <c r="B45" s="32">
        <v>46139.0</v>
      </c>
      <c r="C45" s="18" t="s">
        <v>31</v>
      </c>
      <c r="D45" s="28" t="s">
        <v>112</v>
      </c>
      <c r="E45" s="12" t="s">
        <v>68</v>
      </c>
      <c r="F45" s="32">
        <v>46139.0</v>
      </c>
      <c r="G45" s="34">
        <v>5000.86</v>
      </c>
      <c r="H45" s="8" t="str">
        <f t="shared" si="1"/>
        <v>Finished</v>
      </c>
      <c r="I45" s="8" t="s">
        <v>69</v>
      </c>
      <c r="J45" s="9">
        <v>46157.0</v>
      </c>
      <c r="K45" s="9">
        <v>46174.0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8" t="s">
        <v>113</v>
      </c>
      <c r="B46" s="32">
        <v>46140.0</v>
      </c>
      <c r="C46" s="18" t="s">
        <v>31</v>
      </c>
      <c r="D46" s="28" t="s">
        <v>113</v>
      </c>
      <c r="E46" s="12" t="s">
        <v>68</v>
      </c>
      <c r="F46" s="32">
        <v>46140.0</v>
      </c>
      <c r="G46" s="50">
        <f>13840+6250</f>
        <v>20090</v>
      </c>
      <c r="H46" s="48" t="s">
        <v>114</v>
      </c>
      <c r="I46" s="48" t="s">
        <v>69</v>
      </c>
      <c r="J46" s="51">
        <v>46113.0</v>
      </c>
      <c r="K46" s="51">
        <v>46173.0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8" t="s">
        <v>113</v>
      </c>
      <c r="B47" s="52">
        <v>46174.0</v>
      </c>
      <c r="C47" s="18" t="s">
        <v>31</v>
      </c>
      <c r="D47" s="28" t="s">
        <v>113</v>
      </c>
      <c r="E47" s="12" t="s">
        <v>68</v>
      </c>
      <c r="F47" s="32">
        <v>46327.0</v>
      </c>
      <c r="G47" s="50">
        <v>20383.4</v>
      </c>
      <c r="H47" s="8" t="s">
        <v>45</v>
      </c>
      <c r="I47" s="8" t="s">
        <v>69</v>
      </c>
      <c r="J47" s="51">
        <v>46174.0</v>
      </c>
      <c r="K47" s="51">
        <v>46356.0</v>
      </c>
      <c r="L47" s="6" t="s">
        <v>115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8" t="s">
        <v>116</v>
      </c>
      <c r="B48" s="32">
        <v>46141.0</v>
      </c>
      <c r="C48" s="18" t="s">
        <v>31</v>
      </c>
      <c r="D48" s="28" t="s">
        <v>116</v>
      </c>
      <c r="E48" s="12" t="s">
        <v>68</v>
      </c>
      <c r="F48" s="32">
        <v>46141.0</v>
      </c>
      <c r="G48" s="34">
        <v>4000.0</v>
      </c>
      <c r="H48" s="8" t="str">
        <f t="shared" ref="H48:H53" si="2">IF(TODAY()&gt;K48,"Finished",IF(TODAY()&lt;J48,"Not Started","Ongoing"))</f>
        <v>Finished</v>
      </c>
      <c r="I48" s="8" t="s">
        <v>28</v>
      </c>
      <c r="J48" s="9">
        <v>46143.0</v>
      </c>
      <c r="K48" s="9">
        <v>46174.0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8" t="s">
        <v>117</v>
      </c>
      <c r="B49" s="32">
        <v>46141.0</v>
      </c>
      <c r="C49" s="18" t="s">
        <v>31</v>
      </c>
      <c r="D49" s="37" t="s">
        <v>117</v>
      </c>
      <c r="E49" s="12" t="s">
        <v>56</v>
      </c>
      <c r="F49" s="32">
        <v>46141.0</v>
      </c>
      <c r="G49" s="34">
        <v>3000.0</v>
      </c>
      <c r="H49" s="8" t="str">
        <f t="shared" si="2"/>
        <v>Finished</v>
      </c>
      <c r="I49" s="39" t="s">
        <v>28</v>
      </c>
      <c r="J49" s="9">
        <v>46141.0</v>
      </c>
      <c r="K49" s="9">
        <v>46171.0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8" t="s">
        <v>118</v>
      </c>
      <c r="B50" s="32">
        <v>46141.0</v>
      </c>
      <c r="C50" s="18" t="s">
        <v>84</v>
      </c>
      <c r="D50" s="28" t="s">
        <v>118</v>
      </c>
      <c r="E50" s="12" t="s">
        <v>68</v>
      </c>
      <c r="F50" s="32">
        <v>46141.0</v>
      </c>
      <c r="G50" s="34">
        <v>1650.0</v>
      </c>
      <c r="H50" s="8" t="str">
        <f t="shared" si="2"/>
        <v>Finished</v>
      </c>
      <c r="I50" s="8" t="s">
        <v>65</v>
      </c>
      <c r="J50" s="9">
        <v>46078.0</v>
      </c>
      <c r="K50" s="9">
        <v>46120.0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8" t="s">
        <v>118</v>
      </c>
      <c r="B51" s="32">
        <v>46141.0</v>
      </c>
      <c r="C51" s="18" t="s">
        <v>84</v>
      </c>
      <c r="D51" s="28" t="s">
        <v>118</v>
      </c>
      <c r="E51" s="12" t="s">
        <v>68</v>
      </c>
      <c r="F51" s="32">
        <v>46141.0</v>
      </c>
      <c r="G51" s="34">
        <v>1650.0</v>
      </c>
      <c r="H51" s="8" t="str">
        <f t="shared" si="2"/>
        <v>Finished</v>
      </c>
      <c r="I51" s="8" t="s">
        <v>65</v>
      </c>
      <c r="J51" s="9">
        <v>46078.0</v>
      </c>
      <c r="K51" s="9">
        <v>46120.0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8" t="s">
        <v>119</v>
      </c>
      <c r="B52" s="32">
        <v>46142.0</v>
      </c>
      <c r="C52" s="18" t="s">
        <v>31</v>
      </c>
      <c r="D52" s="28" t="s">
        <v>119</v>
      </c>
      <c r="E52" s="12" t="s">
        <v>56</v>
      </c>
      <c r="F52" s="32">
        <v>46142.0</v>
      </c>
      <c r="G52" s="34">
        <v>3500.0</v>
      </c>
      <c r="H52" s="8" t="str">
        <f t="shared" si="2"/>
        <v>Finished</v>
      </c>
      <c r="I52" s="8" t="s">
        <v>28</v>
      </c>
      <c r="J52" s="9">
        <v>46143.0</v>
      </c>
      <c r="K52" s="9">
        <v>46203.0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8" t="s">
        <v>119</v>
      </c>
      <c r="B53" s="32">
        <v>46142.0</v>
      </c>
      <c r="C53" s="18" t="s">
        <v>31</v>
      </c>
      <c r="D53" s="28" t="s">
        <v>119</v>
      </c>
      <c r="E53" s="12" t="s">
        <v>56</v>
      </c>
      <c r="F53" s="32">
        <v>46142.0</v>
      </c>
      <c r="G53" s="34">
        <v>3500.0</v>
      </c>
      <c r="H53" s="8" t="str">
        <f t="shared" si="2"/>
        <v>Finished</v>
      </c>
      <c r="I53" s="8" t="s">
        <v>28</v>
      </c>
      <c r="J53" s="9">
        <v>46143.0</v>
      </c>
      <c r="K53" s="9">
        <v>46203.0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8" t="s">
        <v>120</v>
      </c>
      <c r="B54" s="32">
        <v>46142.0</v>
      </c>
      <c r="C54" s="18" t="s">
        <v>31</v>
      </c>
      <c r="D54" s="28" t="s">
        <v>120</v>
      </c>
      <c r="E54" s="12" t="s">
        <v>68</v>
      </c>
      <c r="F54" s="32">
        <v>46142.0</v>
      </c>
      <c r="G54" s="34">
        <v>17000.0</v>
      </c>
      <c r="H54" s="8" t="s">
        <v>45</v>
      </c>
      <c r="I54" s="8" t="s">
        <v>69</v>
      </c>
      <c r="J54" s="9">
        <v>46157.0</v>
      </c>
      <c r="K54" s="9">
        <v>46249.0</v>
      </c>
      <c r="L54" s="6" t="s">
        <v>121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8" t="s">
        <v>122</v>
      </c>
      <c r="B55" s="32">
        <v>46142.0</v>
      </c>
      <c r="C55" s="18" t="s">
        <v>31</v>
      </c>
      <c r="D55" s="28" t="s">
        <v>122</v>
      </c>
      <c r="E55" s="12" t="s">
        <v>19</v>
      </c>
      <c r="F55" s="32">
        <v>46142.0</v>
      </c>
      <c r="G55" s="34">
        <v>1666.66</v>
      </c>
      <c r="H55" s="8" t="str">
        <f t="shared" ref="H55:H90" si="3">IF(TODAY()&gt;K55,"Finished",IF(TODAY()&lt;J55,"Not Started","Ongoing"))</f>
        <v>Finished</v>
      </c>
      <c r="I55" s="8" t="s">
        <v>28</v>
      </c>
      <c r="J55" s="9">
        <v>46143.0</v>
      </c>
      <c r="K55" s="9">
        <v>42521.0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8" t="s">
        <v>122</v>
      </c>
      <c r="B56" s="32">
        <v>46142.0</v>
      </c>
      <c r="C56" s="18" t="s">
        <v>31</v>
      </c>
      <c r="D56" s="28" t="s">
        <v>122</v>
      </c>
      <c r="E56" s="12" t="s">
        <v>19</v>
      </c>
      <c r="F56" s="32">
        <v>46142.0</v>
      </c>
      <c r="G56" s="34">
        <v>1666.67</v>
      </c>
      <c r="H56" s="8" t="str">
        <f t="shared" si="3"/>
        <v>Finished</v>
      </c>
      <c r="I56" s="8" t="s">
        <v>28</v>
      </c>
      <c r="J56" s="9">
        <v>46143.0</v>
      </c>
      <c r="K56" s="9">
        <v>42521.0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8" t="s">
        <v>122</v>
      </c>
      <c r="B57" s="32">
        <v>46142.0</v>
      </c>
      <c r="C57" s="18" t="s">
        <v>31</v>
      </c>
      <c r="D57" s="28" t="s">
        <v>122</v>
      </c>
      <c r="E57" s="12" t="s">
        <v>19</v>
      </c>
      <c r="F57" s="32">
        <v>46142.0</v>
      </c>
      <c r="G57" s="34">
        <v>1666.67</v>
      </c>
      <c r="H57" s="8" t="str">
        <f t="shared" si="3"/>
        <v>Finished</v>
      </c>
      <c r="I57" s="8" t="s">
        <v>28</v>
      </c>
      <c r="J57" s="9">
        <v>46143.0</v>
      </c>
      <c r="K57" s="9">
        <v>42521.0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8" t="s">
        <v>123</v>
      </c>
      <c r="B58" s="32">
        <v>46142.0</v>
      </c>
      <c r="C58" s="18" t="s">
        <v>31</v>
      </c>
      <c r="D58" s="28" t="s">
        <v>123</v>
      </c>
      <c r="E58" s="12" t="s">
        <v>19</v>
      </c>
      <c r="F58" s="32">
        <v>46142.0</v>
      </c>
      <c r="G58" s="34">
        <v>1894.46</v>
      </c>
      <c r="H58" s="8" t="str">
        <f t="shared" si="3"/>
        <v>Finished</v>
      </c>
      <c r="I58" s="8" t="s">
        <v>28</v>
      </c>
      <c r="J58" s="9">
        <v>46143.0</v>
      </c>
      <c r="K58" s="9">
        <v>46203.0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8" t="s">
        <v>123</v>
      </c>
      <c r="B59" s="32">
        <v>46142.0</v>
      </c>
      <c r="C59" s="18" t="s">
        <v>31</v>
      </c>
      <c r="D59" s="28" t="s">
        <v>123</v>
      </c>
      <c r="E59" s="12" t="s">
        <v>19</v>
      </c>
      <c r="F59" s="32">
        <v>46142.0</v>
      </c>
      <c r="G59" s="34">
        <v>1894.46</v>
      </c>
      <c r="H59" s="8" t="str">
        <f t="shared" si="3"/>
        <v>Finished</v>
      </c>
      <c r="I59" s="8" t="s">
        <v>28</v>
      </c>
      <c r="J59" s="9">
        <v>46143.0</v>
      </c>
      <c r="K59" s="9">
        <v>46203.0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8" t="s">
        <v>123</v>
      </c>
      <c r="B60" s="32">
        <v>46142.0</v>
      </c>
      <c r="C60" s="18" t="s">
        <v>31</v>
      </c>
      <c r="D60" s="28" t="s">
        <v>123</v>
      </c>
      <c r="E60" s="12" t="s">
        <v>19</v>
      </c>
      <c r="F60" s="32">
        <v>46142.0</v>
      </c>
      <c r="G60" s="34">
        <v>1894.46</v>
      </c>
      <c r="H60" s="8" t="str">
        <f t="shared" si="3"/>
        <v>Finished</v>
      </c>
      <c r="I60" s="8" t="s">
        <v>28</v>
      </c>
      <c r="J60" s="9">
        <v>46143.0</v>
      </c>
      <c r="K60" s="9">
        <v>46203.0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8" t="s">
        <v>123</v>
      </c>
      <c r="B61" s="32">
        <v>46142.0</v>
      </c>
      <c r="C61" s="18" t="s">
        <v>31</v>
      </c>
      <c r="D61" s="28" t="s">
        <v>123</v>
      </c>
      <c r="E61" s="12" t="s">
        <v>19</v>
      </c>
      <c r="F61" s="32">
        <v>46142.0</v>
      </c>
      <c r="G61" s="34">
        <v>1894.46</v>
      </c>
      <c r="H61" s="8" t="str">
        <f t="shared" si="3"/>
        <v>Finished</v>
      </c>
      <c r="I61" s="8" t="s">
        <v>28</v>
      </c>
      <c r="J61" s="9">
        <v>46143.0</v>
      </c>
      <c r="K61" s="9">
        <v>46203.0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8" t="s">
        <v>124</v>
      </c>
      <c r="B62" s="32">
        <v>46142.0</v>
      </c>
      <c r="C62" s="18" t="s">
        <v>31</v>
      </c>
      <c r="D62" s="28" t="s">
        <v>124</v>
      </c>
      <c r="E62" s="12" t="s">
        <v>56</v>
      </c>
      <c r="F62" s="32">
        <v>46142.0</v>
      </c>
      <c r="G62" s="34">
        <v>885.0</v>
      </c>
      <c r="H62" s="8" t="str">
        <f t="shared" si="3"/>
        <v>Finished</v>
      </c>
      <c r="I62" s="8" t="s">
        <v>65</v>
      </c>
      <c r="J62" s="9">
        <v>46107.0</v>
      </c>
      <c r="K62" s="9">
        <v>46138.0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8" t="s">
        <v>124</v>
      </c>
      <c r="B63" s="32">
        <v>46142.0</v>
      </c>
      <c r="C63" s="18" t="s">
        <v>31</v>
      </c>
      <c r="D63" s="28" t="s">
        <v>124</v>
      </c>
      <c r="E63" s="12" t="s">
        <v>56</v>
      </c>
      <c r="F63" s="32">
        <v>46142.0</v>
      </c>
      <c r="G63" s="34">
        <v>885.0</v>
      </c>
      <c r="H63" s="8" t="str">
        <f t="shared" si="3"/>
        <v>Finished</v>
      </c>
      <c r="I63" s="8" t="s">
        <v>65</v>
      </c>
      <c r="J63" s="9">
        <v>46107.0</v>
      </c>
      <c r="K63" s="9">
        <v>46138.0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8" t="s">
        <v>125</v>
      </c>
      <c r="B64" s="32">
        <v>46142.0</v>
      </c>
      <c r="C64" s="18" t="s">
        <v>84</v>
      </c>
      <c r="D64" s="28" t="s">
        <v>125</v>
      </c>
      <c r="E64" s="12" t="s">
        <v>68</v>
      </c>
      <c r="F64" s="32">
        <v>46142.0</v>
      </c>
      <c r="G64" s="34">
        <v>1500.0</v>
      </c>
      <c r="H64" s="8" t="str">
        <f t="shared" si="3"/>
        <v>Finished</v>
      </c>
      <c r="I64" s="8" t="s">
        <v>65</v>
      </c>
      <c r="J64" s="9">
        <v>46121.0</v>
      </c>
      <c r="K64" s="9">
        <v>46156.0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8" t="s">
        <v>97</v>
      </c>
      <c r="B65" s="32">
        <v>46142.0</v>
      </c>
      <c r="C65" s="18" t="s">
        <v>84</v>
      </c>
      <c r="D65" s="28" t="s">
        <v>97</v>
      </c>
      <c r="E65" s="12" t="s">
        <v>68</v>
      </c>
      <c r="F65" s="32">
        <v>46142.0</v>
      </c>
      <c r="G65" s="34">
        <v>950.0</v>
      </c>
      <c r="H65" s="8" t="str">
        <f t="shared" si="3"/>
        <v>Finished</v>
      </c>
      <c r="I65" s="8" t="s">
        <v>65</v>
      </c>
      <c r="J65" s="9">
        <v>46097.0</v>
      </c>
      <c r="K65" s="9">
        <v>46129.0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8" t="s">
        <v>97</v>
      </c>
      <c r="B66" s="32">
        <v>46142.0</v>
      </c>
      <c r="C66" s="18" t="s">
        <v>84</v>
      </c>
      <c r="D66" s="28" t="s">
        <v>97</v>
      </c>
      <c r="E66" s="12" t="s">
        <v>68</v>
      </c>
      <c r="F66" s="32">
        <v>46142.0</v>
      </c>
      <c r="G66" s="34">
        <v>950.0</v>
      </c>
      <c r="H66" s="8" t="str">
        <f t="shared" si="3"/>
        <v>Finished</v>
      </c>
      <c r="I66" s="8" t="s">
        <v>65</v>
      </c>
      <c r="J66" s="9">
        <v>46097.0</v>
      </c>
      <c r="K66" s="9">
        <v>46129.0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8" t="s">
        <v>97</v>
      </c>
      <c r="B67" s="32">
        <v>46142.0</v>
      </c>
      <c r="C67" s="18" t="s">
        <v>84</v>
      </c>
      <c r="D67" s="28" t="s">
        <v>97</v>
      </c>
      <c r="E67" s="12" t="s">
        <v>68</v>
      </c>
      <c r="F67" s="32">
        <v>46142.0</v>
      </c>
      <c r="G67" s="34">
        <v>950.0</v>
      </c>
      <c r="H67" s="8" t="str">
        <f t="shared" si="3"/>
        <v>Finished</v>
      </c>
      <c r="I67" s="8" t="s">
        <v>65</v>
      </c>
      <c r="J67" s="9">
        <v>46097.0</v>
      </c>
      <c r="K67" s="9">
        <v>46129.0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8" t="s">
        <v>100</v>
      </c>
      <c r="B68" s="32">
        <v>46142.0</v>
      </c>
      <c r="C68" s="18" t="s">
        <v>31</v>
      </c>
      <c r="D68" s="33" t="s">
        <v>100</v>
      </c>
      <c r="E68" s="12" t="s">
        <v>68</v>
      </c>
      <c r="F68" s="32">
        <v>46142.0</v>
      </c>
      <c r="G68" s="34">
        <v>2700.0</v>
      </c>
      <c r="H68" s="8" t="str">
        <f t="shared" si="3"/>
        <v>Finished</v>
      </c>
      <c r="I68" s="8" t="s">
        <v>69</v>
      </c>
      <c r="J68" s="9">
        <v>46130.0</v>
      </c>
      <c r="K68" s="9">
        <v>46145.0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8" t="s">
        <v>126</v>
      </c>
      <c r="B69" s="32">
        <v>46143.0</v>
      </c>
      <c r="C69" s="18" t="s">
        <v>31</v>
      </c>
      <c r="D69" s="28" t="s">
        <v>126</v>
      </c>
      <c r="E69" s="12" t="s">
        <v>56</v>
      </c>
      <c r="F69" s="32">
        <v>46143.0</v>
      </c>
      <c r="G69" s="53">
        <v>879.82</v>
      </c>
      <c r="H69" s="8" t="str">
        <f t="shared" si="3"/>
        <v>Finished</v>
      </c>
      <c r="I69" s="8" t="s">
        <v>65</v>
      </c>
      <c r="J69" s="9">
        <v>46143.0</v>
      </c>
      <c r="K69" s="9">
        <v>46173.0</v>
      </c>
      <c r="L69" s="54">
        <v>1050.0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8" t="s">
        <v>127</v>
      </c>
      <c r="B70" s="32">
        <v>46147.0</v>
      </c>
      <c r="C70" s="18" t="s">
        <v>84</v>
      </c>
      <c r="D70" s="28" t="s">
        <v>127</v>
      </c>
      <c r="E70" s="12" t="s">
        <v>68</v>
      </c>
      <c r="F70" s="32">
        <v>46147.0</v>
      </c>
      <c r="G70" s="34">
        <v>1280.95</v>
      </c>
      <c r="H70" s="8" t="str">
        <f t="shared" si="3"/>
        <v>Finished</v>
      </c>
      <c r="I70" s="8" t="s">
        <v>65</v>
      </c>
      <c r="J70" s="9">
        <v>46128.0</v>
      </c>
      <c r="K70" s="9">
        <v>46140.0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8" t="s">
        <v>128</v>
      </c>
      <c r="B71" s="32">
        <v>46148.0</v>
      </c>
      <c r="C71" s="18" t="s">
        <v>31</v>
      </c>
      <c r="D71" s="28" t="s">
        <v>128</v>
      </c>
      <c r="E71" s="12" t="s">
        <v>56</v>
      </c>
      <c r="F71" s="32">
        <v>46148.0</v>
      </c>
      <c r="G71" s="34">
        <v>256.68</v>
      </c>
      <c r="H71" s="8" t="str">
        <f t="shared" si="3"/>
        <v>Finished</v>
      </c>
      <c r="I71" s="8" t="s">
        <v>69</v>
      </c>
      <c r="J71" s="9">
        <v>46149.0</v>
      </c>
      <c r="K71" s="9">
        <v>46161.0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8" t="s">
        <v>129</v>
      </c>
      <c r="B72" s="32">
        <v>46148.0</v>
      </c>
      <c r="C72" s="18" t="s">
        <v>31</v>
      </c>
      <c r="D72" s="28" t="s">
        <v>129</v>
      </c>
      <c r="E72" s="12" t="s">
        <v>56</v>
      </c>
      <c r="F72" s="32">
        <v>46148.0</v>
      </c>
      <c r="G72" s="34">
        <v>2815.6500000000005</v>
      </c>
      <c r="H72" s="8" t="str">
        <f t="shared" si="3"/>
        <v>Finished</v>
      </c>
      <c r="I72" s="8" t="s">
        <v>69</v>
      </c>
      <c r="J72" s="9">
        <v>46149.0</v>
      </c>
      <c r="K72" s="9">
        <v>46173.0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8" t="s">
        <v>130</v>
      </c>
      <c r="B73" s="32">
        <v>46149.0</v>
      </c>
      <c r="C73" s="18" t="s">
        <v>31</v>
      </c>
      <c r="D73" s="28" t="s">
        <v>130</v>
      </c>
      <c r="E73" s="12" t="s">
        <v>68</v>
      </c>
      <c r="F73" s="32">
        <v>46149.0</v>
      </c>
      <c r="G73" s="34">
        <v>4000.0</v>
      </c>
      <c r="H73" s="8" t="str">
        <f t="shared" si="3"/>
        <v>Finished</v>
      </c>
      <c r="I73" s="8" t="s">
        <v>69</v>
      </c>
      <c r="J73" s="9">
        <v>46160.0</v>
      </c>
      <c r="K73" s="9">
        <v>46173.0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8" t="s">
        <v>131</v>
      </c>
      <c r="B74" s="32">
        <v>46149.0</v>
      </c>
      <c r="C74" s="18" t="s">
        <v>31</v>
      </c>
      <c r="D74" s="28" t="s">
        <v>131</v>
      </c>
      <c r="E74" s="12" t="s">
        <v>68</v>
      </c>
      <c r="F74" s="32">
        <v>46149.0</v>
      </c>
      <c r="G74" s="34">
        <v>4000.0</v>
      </c>
      <c r="H74" s="8" t="str">
        <f t="shared" si="3"/>
        <v>Finished</v>
      </c>
      <c r="I74" s="8" t="s">
        <v>69</v>
      </c>
      <c r="J74" s="9">
        <v>46160.0</v>
      </c>
      <c r="K74" s="9">
        <v>46173.0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8" t="s">
        <v>132</v>
      </c>
      <c r="B75" s="32">
        <v>46149.0</v>
      </c>
      <c r="C75" s="18" t="s">
        <v>31</v>
      </c>
      <c r="D75" s="28" t="s">
        <v>132</v>
      </c>
      <c r="E75" s="12" t="s">
        <v>68</v>
      </c>
      <c r="F75" s="32">
        <v>46149.0</v>
      </c>
      <c r="G75" s="34">
        <v>2125.0</v>
      </c>
      <c r="H75" s="8" t="str">
        <f t="shared" si="3"/>
        <v>Finished</v>
      </c>
      <c r="I75" s="8" t="s">
        <v>69</v>
      </c>
      <c r="J75" s="9">
        <v>46149.0</v>
      </c>
      <c r="K75" s="9">
        <v>46173.0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8" t="s">
        <v>133</v>
      </c>
      <c r="B76" s="32">
        <v>46150.0</v>
      </c>
      <c r="C76" s="18" t="s">
        <v>31</v>
      </c>
      <c r="D76" s="28" t="s">
        <v>133</v>
      </c>
      <c r="E76" s="12" t="s">
        <v>56</v>
      </c>
      <c r="F76" s="32">
        <v>46150.0</v>
      </c>
      <c r="G76" s="34">
        <v>594.6700000000001</v>
      </c>
      <c r="H76" s="8" t="str">
        <f t="shared" si="3"/>
        <v>Finished</v>
      </c>
      <c r="I76" s="8" t="s">
        <v>69</v>
      </c>
      <c r="J76" s="9">
        <v>46149.0</v>
      </c>
      <c r="K76" s="9">
        <v>46161.0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8" t="s">
        <v>134</v>
      </c>
      <c r="B77" s="32">
        <v>46150.0</v>
      </c>
      <c r="C77" s="18" t="s">
        <v>31</v>
      </c>
      <c r="D77" s="28" t="s">
        <v>134</v>
      </c>
      <c r="E77" s="12" t="s">
        <v>68</v>
      </c>
      <c r="F77" s="32">
        <v>46150.0</v>
      </c>
      <c r="G77" s="53">
        <v>7500.0</v>
      </c>
      <c r="H77" s="8" t="str">
        <f t="shared" si="3"/>
        <v>Finished</v>
      </c>
      <c r="I77" s="8" t="s">
        <v>69</v>
      </c>
      <c r="J77" s="9">
        <v>46152.0</v>
      </c>
      <c r="K77" s="9">
        <v>46167.0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8" t="s">
        <v>135</v>
      </c>
      <c r="B78" s="32">
        <v>46153.0</v>
      </c>
      <c r="C78" s="18" t="s">
        <v>31</v>
      </c>
      <c r="D78" s="28" t="s">
        <v>135</v>
      </c>
      <c r="E78" s="12" t="s">
        <v>68</v>
      </c>
      <c r="F78" s="32">
        <v>46153.0</v>
      </c>
      <c r="G78" s="50">
        <v>1759.75</v>
      </c>
      <c r="H78" s="8" t="str">
        <f t="shared" si="3"/>
        <v>Finished</v>
      </c>
      <c r="I78" s="8" t="s">
        <v>69</v>
      </c>
      <c r="J78" s="9">
        <v>46167.0</v>
      </c>
      <c r="K78" s="9">
        <v>46204.0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8" t="s">
        <v>142</v>
      </c>
      <c r="B79" s="32">
        <v>46153.0</v>
      </c>
      <c r="C79" s="18" t="s">
        <v>31</v>
      </c>
      <c r="D79" s="28" t="s">
        <v>142</v>
      </c>
      <c r="E79" s="12" t="s">
        <v>68</v>
      </c>
      <c r="F79" s="32">
        <v>46153.0</v>
      </c>
      <c r="G79" s="34">
        <v>1759.75</v>
      </c>
      <c r="H79" s="8" t="str">
        <f t="shared" si="3"/>
        <v>Finished</v>
      </c>
      <c r="I79" s="8" t="s">
        <v>69</v>
      </c>
      <c r="J79" s="9">
        <v>46167.0</v>
      </c>
      <c r="K79" s="9">
        <v>46204.0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8" t="s">
        <v>111</v>
      </c>
      <c r="B80" s="32">
        <v>46156.0</v>
      </c>
      <c r="C80" s="18" t="s">
        <v>31</v>
      </c>
      <c r="D80" s="28" t="s">
        <v>111</v>
      </c>
      <c r="E80" s="12" t="s">
        <v>56</v>
      </c>
      <c r="F80" s="32">
        <v>46156.0</v>
      </c>
      <c r="G80" s="57">
        <v>1646.67</v>
      </c>
      <c r="H80" s="8" t="str">
        <f t="shared" si="3"/>
        <v>Finished</v>
      </c>
      <c r="I80" s="8" t="s">
        <v>65</v>
      </c>
      <c r="J80" s="9">
        <v>46111.0</v>
      </c>
      <c r="K80" s="9">
        <v>46127.0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8" t="s">
        <v>111</v>
      </c>
      <c r="B81" s="32">
        <v>46156.0</v>
      </c>
      <c r="C81" s="18" t="s">
        <v>31</v>
      </c>
      <c r="D81" s="28" t="s">
        <v>111</v>
      </c>
      <c r="E81" s="12" t="s">
        <v>56</v>
      </c>
      <c r="F81" s="32">
        <v>46156.0</v>
      </c>
      <c r="G81" s="57">
        <v>1646.67</v>
      </c>
      <c r="H81" s="8" t="str">
        <f t="shared" si="3"/>
        <v>Finished</v>
      </c>
      <c r="I81" s="8" t="s">
        <v>65</v>
      </c>
      <c r="J81" s="9">
        <v>46111.0</v>
      </c>
      <c r="K81" s="9">
        <v>46127.0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8" t="s">
        <v>111</v>
      </c>
      <c r="B82" s="32">
        <v>46156.0</v>
      </c>
      <c r="C82" s="18" t="s">
        <v>31</v>
      </c>
      <c r="D82" s="28" t="s">
        <v>111</v>
      </c>
      <c r="E82" s="12" t="s">
        <v>56</v>
      </c>
      <c r="F82" s="32">
        <v>46156.0</v>
      </c>
      <c r="G82" s="57">
        <v>1646.66</v>
      </c>
      <c r="H82" s="8" t="str">
        <f t="shared" si="3"/>
        <v>Finished</v>
      </c>
      <c r="I82" s="8" t="s">
        <v>65</v>
      </c>
      <c r="J82" s="9">
        <v>46111.0</v>
      </c>
      <c r="K82" s="9">
        <v>46127.0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8" t="s">
        <v>143</v>
      </c>
      <c r="B83" s="32">
        <v>46156.0</v>
      </c>
      <c r="C83" s="18" t="s">
        <v>31</v>
      </c>
      <c r="D83" s="12" t="s">
        <v>143</v>
      </c>
      <c r="E83" s="12" t="s">
        <v>56</v>
      </c>
      <c r="F83" s="32">
        <v>46156.0</v>
      </c>
      <c r="G83" s="57">
        <v>1864.33</v>
      </c>
      <c r="H83" s="8" t="str">
        <f t="shared" si="3"/>
        <v>Finished</v>
      </c>
      <c r="I83" s="8" t="s">
        <v>69</v>
      </c>
      <c r="J83" s="58">
        <v>46162.0</v>
      </c>
      <c r="K83" s="58">
        <v>46172.0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8" t="s">
        <v>144</v>
      </c>
      <c r="B84" s="32">
        <v>46156.0</v>
      </c>
      <c r="C84" s="8" t="s">
        <v>84</v>
      </c>
      <c r="D84" s="12" t="s">
        <v>144</v>
      </c>
      <c r="E84" s="12" t="s">
        <v>19</v>
      </c>
      <c r="F84" s="32">
        <v>46156.0</v>
      </c>
      <c r="G84" s="57">
        <v>1890.0</v>
      </c>
      <c r="H84" s="8" t="str">
        <f t="shared" si="3"/>
        <v>Finished</v>
      </c>
      <c r="I84" s="8" t="s">
        <v>145</v>
      </c>
      <c r="J84" s="32">
        <v>46162.0</v>
      </c>
      <c r="K84" s="32">
        <v>46172.0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8" t="s">
        <v>146</v>
      </c>
      <c r="B85" s="58">
        <v>46157.0</v>
      </c>
      <c r="C85" s="8" t="s">
        <v>31</v>
      </c>
      <c r="D85" s="12" t="s">
        <v>146</v>
      </c>
      <c r="E85" s="12" t="s">
        <v>59</v>
      </c>
      <c r="F85" s="32">
        <v>46157.0</v>
      </c>
      <c r="G85" s="57">
        <v>2500.0</v>
      </c>
      <c r="H85" s="8" t="str">
        <f t="shared" si="3"/>
        <v>Finished</v>
      </c>
      <c r="I85" s="8" t="s">
        <v>28</v>
      </c>
      <c r="J85" s="58">
        <v>46157.0</v>
      </c>
      <c r="K85" s="58">
        <v>46157.0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8" t="s">
        <v>132</v>
      </c>
      <c r="B86" s="58">
        <v>46157.0</v>
      </c>
      <c r="C86" s="8" t="s">
        <v>31</v>
      </c>
      <c r="D86" s="12" t="s">
        <v>132</v>
      </c>
      <c r="E86" s="12" t="s">
        <v>68</v>
      </c>
      <c r="F86" s="32">
        <v>46157.0</v>
      </c>
      <c r="G86" s="59">
        <v>2125.0</v>
      </c>
      <c r="H86" s="8" t="str">
        <f t="shared" si="3"/>
        <v>Finished</v>
      </c>
      <c r="I86" s="8" t="s">
        <v>69</v>
      </c>
      <c r="J86" s="58">
        <v>46162.0</v>
      </c>
      <c r="K86" s="58">
        <v>46157.0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8" t="s">
        <v>147</v>
      </c>
      <c r="B87" s="58">
        <v>46169.0</v>
      </c>
      <c r="C87" s="8" t="s">
        <v>31</v>
      </c>
      <c r="D87" s="12" t="s">
        <v>147</v>
      </c>
      <c r="E87" s="12" t="s">
        <v>56</v>
      </c>
      <c r="F87" s="32">
        <v>46169.0</v>
      </c>
      <c r="G87" s="57">
        <v>1544.65</v>
      </c>
      <c r="H87" s="8" t="str">
        <f t="shared" si="3"/>
        <v>Finished</v>
      </c>
      <c r="I87" s="8" t="s">
        <v>28</v>
      </c>
      <c r="J87" s="58">
        <v>46174.0</v>
      </c>
      <c r="K87" s="58">
        <v>46203.0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8" t="s">
        <v>148</v>
      </c>
      <c r="B88" s="58">
        <v>46169.0</v>
      </c>
      <c r="C88" s="8" t="s">
        <v>31</v>
      </c>
      <c r="D88" s="12" t="s">
        <v>148</v>
      </c>
      <c r="E88" s="12" t="s">
        <v>68</v>
      </c>
      <c r="F88" s="32">
        <v>46169.0</v>
      </c>
      <c r="G88" s="57">
        <v>3500.0</v>
      </c>
      <c r="H88" s="8" t="str">
        <f t="shared" si="3"/>
        <v>Finished</v>
      </c>
      <c r="I88" s="8" t="s">
        <v>28</v>
      </c>
      <c r="J88" s="58">
        <v>46174.0</v>
      </c>
      <c r="K88" s="58">
        <v>46203.0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8" t="s">
        <v>149</v>
      </c>
      <c r="B89" s="58">
        <v>46174.0</v>
      </c>
      <c r="C89" s="8" t="s">
        <v>31</v>
      </c>
      <c r="D89" s="12" t="s">
        <v>149</v>
      </c>
      <c r="E89" s="12" t="s">
        <v>56</v>
      </c>
      <c r="F89" s="32">
        <v>46174.0</v>
      </c>
      <c r="G89" s="57">
        <v>687.0699999999999</v>
      </c>
      <c r="H89" s="8" t="str">
        <f t="shared" si="3"/>
        <v>Finished</v>
      </c>
      <c r="I89" s="8" t="s">
        <v>69</v>
      </c>
      <c r="J89" s="58">
        <v>46174.0</v>
      </c>
      <c r="K89" s="58">
        <v>46203.0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8" t="s">
        <v>150</v>
      </c>
      <c r="B90" s="58">
        <v>46175.0</v>
      </c>
      <c r="C90" s="8" t="s">
        <v>31</v>
      </c>
      <c r="D90" s="12" t="s">
        <v>150</v>
      </c>
      <c r="E90" s="12" t="s">
        <v>56</v>
      </c>
      <c r="F90" s="32">
        <v>46175.0</v>
      </c>
      <c r="G90" s="57">
        <v>2189.06</v>
      </c>
      <c r="H90" s="8" t="str">
        <f t="shared" si="3"/>
        <v>Finished</v>
      </c>
      <c r="I90" s="8" t="s">
        <v>69</v>
      </c>
      <c r="J90" s="58">
        <v>46174.0</v>
      </c>
      <c r="K90" s="58">
        <v>46203.0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8" t="s">
        <v>151</v>
      </c>
      <c r="B91" s="58">
        <v>46175.0</v>
      </c>
      <c r="C91" s="8" t="s">
        <v>31</v>
      </c>
      <c r="D91" s="12" t="s">
        <v>151</v>
      </c>
      <c r="E91" s="12" t="s">
        <v>59</v>
      </c>
      <c r="F91" s="32">
        <v>46175.0</v>
      </c>
      <c r="G91" s="57">
        <v>686.9</v>
      </c>
      <c r="H91" s="8" t="s">
        <v>152</v>
      </c>
      <c r="I91" s="8" t="s">
        <v>69</v>
      </c>
      <c r="J91" s="58">
        <v>46174.0</v>
      </c>
      <c r="K91" s="58">
        <v>46203.0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8" t="s">
        <v>153</v>
      </c>
      <c r="B92" s="58">
        <v>46175.0</v>
      </c>
      <c r="C92" s="8" t="s">
        <v>31</v>
      </c>
      <c r="D92" s="12" t="s">
        <v>153</v>
      </c>
      <c r="E92" s="12" t="s">
        <v>56</v>
      </c>
      <c r="F92" s="32">
        <v>46175.0</v>
      </c>
      <c r="G92" s="60">
        <v>429.35</v>
      </c>
      <c r="H92" s="8" t="str">
        <f t="shared" ref="H92:H114" si="4">IF(TODAY()&gt;K92,"Finished",IF(TODAY()&lt;J92,"Not Started","Ongoing"))</f>
        <v>Finished</v>
      </c>
      <c r="I92" s="8" t="s">
        <v>69</v>
      </c>
      <c r="J92" s="58">
        <v>46174.0</v>
      </c>
      <c r="K92" s="58">
        <v>46203.0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8" t="s">
        <v>154</v>
      </c>
      <c r="B93" s="58">
        <v>46176.0</v>
      </c>
      <c r="C93" s="8" t="s">
        <v>31</v>
      </c>
      <c r="D93" s="12" t="s">
        <v>154</v>
      </c>
      <c r="E93" s="12" t="s">
        <v>56</v>
      </c>
      <c r="F93" s="32">
        <v>46176.0</v>
      </c>
      <c r="G93" s="61">
        <v>-1.15</v>
      </c>
      <c r="H93" s="8" t="str">
        <f t="shared" si="4"/>
        <v>Finished</v>
      </c>
      <c r="I93" s="8" t="s">
        <v>69</v>
      </c>
      <c r="J93" s="58">
        <v>46174.0</v>
      </c>
      <c r="K93" s="58">
        <v>46203.0</v>
      </c>
      <c r="L93" s="36" t="s">
        <v>155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8" t="s">
        <v>156</v>
      </c>
      <c r="B94" s="58">
        <v>46176.0</v>
      </c>
      <c r="C94" s="8" t="s">
        <v>31</v>
      </c>
      <c r="D94" s="12" t="s">
        <v>156</v>
      </c>
      <c r="E94" s="12" t="s">
        <v>59</v>
      </c>
      <c r="F94" s="32">
        <v>46176.0</v>
      </c>
      <c r="G94" s="57">
        <v>950.0</v>
      </c>
      <c r="H94" s="8" t="str">
        <f t="shared" si="4"/>
        <v>Finished</v>
      </c>
      <c r="I94" s="8" t="s">
        <v>28</v>
      </c>
      <c r="J94" s="58">
        <v>46174.0</v>
      </c>
      <c r="K94" s="58">
        <v>46203.0</v>
      </c>
      <c r="L94" s="3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8" t="s">
        <v>157</v>
      </c>
      <c r="B95" s="58">
        <v>46177.0</v>
      </c>
      <c r="C95" s="8" t="s">
        <v>31</v>
      </c>
      <c r="D95" s="12" t="s">
        <v>157</v>
      </c>
      <c r="E95" s="12" t="s">
        <v>56</v>
      </c>
      <c r="F95" s="32">
        <v>46177.0</v>
      </c>
      <c r="G95" s="62">
        <v>580.67</v>
      </c>
      <c r="H95" s="8" t="str">
        <f t="shared" si="4"/>
        <v>Finished</v>
      </c>
      <c r="I95" s="8" t="s">
        <v>69</v>
      </c>
      <c r="J95" s="58">
        <v>46174.0</v>
      </c>
      <c r="K95" s="58">
        <v>46203.0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8" t="s">
        <v>158</v>
      </c>
      <c r="B96" s="58">
        <v>46181.0</v>
      </c>
      <c r="C96" s="8" t="s">
        <v>31</v>
      </c>
      <c r="D96" s="12" t="s">
        <v>158</v>
      </c>
      <c r="E96" s="12" t="s">
        <v>68</v>
      </c>
      <c r="F96" s="32">
        <v>46181.0</v>
      </c>
      <c r="G96" s="8">
        <v>1650.0</v>
      </c>
      <c r="H96" s="8" t="str">
        <f t="shared" si="4"/>
        <v>Finished</v>
      </c>
      <c r="I96" s="8" t="s">
        <v>28</v>
      </c>
      <c r="J96" s="58">
        <v>46188.0</v>
      </c>
      <c r="K96" s="58">
        <v>46227.0</v>
      </c>
      <c r="L96" s="6" t="s">
        <v>95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8" t="s">
        <v>158</v>
      </c>
      <c r="B97" s="58">
        <v>46181.0</v>
      </c>
      <c r="C97" s="8" t="s">
        <v>31</v>
      </c>
      <c r="D97" s="12" t="s">
        <v>158</v>
      </c>
      <c r="E97" s="12" t="s">
        <v>68</v>
      </c>
      <c r="F97" s="32">
        <v>46181.0</v>
      </c>
      <c r="G97" s="8">
        <v>1650.0</v>
      </c>
      <c r="H97" s="8" t="str">
        <f t="shared" si="4"/>
        <v>Finished</v>
      </c>
      <c r="I97" s="8" t="s">
        <v>28</v>
      </c>
      <c r="J97" s="58">
        <v>46188.0</v>
      </c>
      <c r="K97" s="58">
        <v>46227.0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8" t="s">
        <v>159</v>
      </c>
      <c r="B98" s="58">
        <v>46182.0</v>
      </c>
      <c r="C98" s="8" t="s">
        <v>31</v>
      </c>
      <c r="D98" s="12" t="s">
        <v>159</v>
      </c>
      <c r="E98" s="12" t="s">
        <v>56</v>
      </c>
      <c r="F98" s="32">
        <v>46182.0</v>
      </c>
      <c r="G98" s="8">
        <v>477.26</v>
      </c>
      <c r="H98" s="8" t="str">
        <f t="shared" si="4"/>
        <v>Finished</v>
      </c>
      <c r="I98" s="8" t="s">
        <v>69</v>
      </c>
      <c r="J98" s="58">
        <v>46183.0</v>
      </c>
      <c r="K98" s="58">
        <v>46213.0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8" t="s">
        <v>72</v>
      </c>
      <c r="B99" s="58">
        <v>46183.0</v>
      </c>
      <c r="C99" s="8" t="s">
        <v>31</v>
      </c>
      <c r="D99" s="12" t="s">
        <v>72</v>
      </c>
      <c r="E99" s="12" t="s">
        <v>56</v>
      </c>
      <c r="F99" s="32">
        <v>46183.0</v>
      </c>
      <c r="G99" s="8">
        <v>1901.8</v>
      </c>
      <c r="H99" s="8" t="str">
        <f t="shared" si="4"/>
        <v>Finished</v>
      </c>
      <c r="I99" s="8" t="s">
        <v>28</v>
      </c>
      <c r="J99" s="58">
        <v>46189.0</v>
      </c>
      <c r="K99" s="58">
        <v>46220.0</v>
      </c>
      <c r="L99" s="3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8" t="s">
        <v>163</v>
      </c>
      <c r="B100" s="58">
        <v>46183.0</v>
      </c>
      <c r="C100" s="8" t="s">
        <v>31</v>
      </c>
      <c r="D100" s="12" t="s">
        <v>163</v>
      </c>
      <c r="E100" s="12" t="s">
        <v>19</v>
      </c>
      <c r="F100" s="32">
        <v>46183.0</v>
      </c>
      <c r="G100" s="8">
        <v>1500.0</v>
      </c>
      <c r="H100" s="8" t="str">
        <f t="shared" si="4"/>
        <v>Finished</v>
      </c>
      <c r="I100" s="8" t="s">
        <v>28</v>
      </c>
      <c r="J100" s="58">
        <v>46204.0</v>
      </c>
      <c r="K100" s="58">
        <v>46266.0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8" t="s">
        <v>167</v>
      </c>
      <c r="B101" s="58">
        <v>46184.0</v>
      </c>
      <c r="C101" s="8" t="s">
        <v>31</v>
      </c>
      <c r="D101" s="12" t="s">
        <v>167</v>
      </c>
      <c r="E101" s="12" t="s">
        <v>56</v>
      </c>
      <c r="F101" s="32">
        <v>46184.0</v>
      </c>
      <c r="G101" s="8">
        <v>302.95</v>
      </c>
      <c r="H101" s="8" t="str">
        <f t="shared" si="4"/>
        <v>Finished</v>
      </c>
      <c r="I101" s="8" t="s">
        <v>69</v>
      </c>
      <c r="J101" s="58">
        <v>46185.0</v>
      </c>
      <c r="K101" s="58">
        <v>46192.0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8" t="s">
        <v>168</v>
      </c>
      <c r="B102" s="58">
        <v>46184.0</v>
      </c>
      <c r="C102" s="8" t="s">
        <v>31</v>
      </c>
      <c r="D102" s="12" t="s">
        <v>168</v>
      </c>
      <c r="E102" s="12" t="s">
        <v>68</v>
      </c>
      <c r="F102" s="32">
        <v>46184.0</v>
      </c>
      <c r="G102" s="8">
        <v>3333.34</v>
      </c>
      <c r="H102" s="8" t="str">
        <f t="shared" si="4"/>
        <v>Finished</v>
      </c>
      <c r="I102" s="8" t="s">
        <v>28</v>
      </c>
      <c r="J102" s="58">
        <v>46184.0</v>
      </c>
      <c r="K102" s="58">
        <v>46214.0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8" t="s">
        <v>168</v>
      </c>
      <c r="B103" s="58">
        <v>46184.0</v>
      </c>
      <c r="C103" s="8" t="s">
        <v>31</v>
      </c>
      <c r="D103" s="12" t="s">
        <v>168</v>
      </c>
      <c r="E103" s="12" t="s">
        <v>68</v>
      </c>
      <c r="F103" s="32">
        <v>46184.0</v>
      </c>
      <c r="G103" s="8">
        <v>1666.66</v>
      </c>
      <c r="H103" s="8" t="str">
        <f t="shared" si="4"/>
        <v>Finished</v>
      </c>
      <c r="I103" s="8" t="s">
        <v>28</v>
      </c>
      <c r="J103" s="58">
        <v>46184.0</v>
      </c>
      <c r="K103" s="58">
        <v>46214.0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8" t="s">
        <v>169</v>
      </c>
      <c r="B104" s="58">
        <v>46185.0</v>
      </c>
      <c r="C104" s="8" t="s">
        <v>31</v>
      </c>
      <c r="D104" s="12" t="s">
        <v>169</v>
      </c>
      <c r="E104" s="12" t="s">
        <v>56</v>
      </c>
      <c r="F104" s="32">
        <v>46185.0</v>
      </c>
      <c r="G104" s="48">
        <v>2429.62</v>
      </c>
      <c r="H104" s="8" t="str">
        <f t="shared" si="4"/>
        <v>Finished</v>
      </c>
      <c r="I104" s="8" t="s">
        <v>69</v>
      </c>
      <c r="J104" s="58">
        <v>46187.0</v>
      </c>
      <c r="K104" s="58">
        <v>46194.0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8" t="s">
        <v>170</v>
      </c>
      <c r="B105" s="58">
        <v>46185.0</v>
      </c>
      <c r="C105" s="8" t="s">
        <v>84</v>
      </c>
      <c r="D105" s="12" t="s">
        <v>170</v>
      </c>
      <c r="E105" s="12" t="s">
        <v>68</v>
      </c>
      <c r="F105" s="32">
        <v>46185.0</v>
      </c>
      <c r="G105" s="8">
        <v>750.0</v>
      </c>
      <c r="H105" s="8" t="str">
        <f t="shared" si="4"/>
        <v>Finished</v>
      </c>
      <c r="I105" s="8" t="s">
        <v>65</v>
      </c>
      <c r="J105" s="58">
        <v>46177.0</v>
      </c>
      <c r="K105" s="58">
        <v>46129.0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8" t="s">
        <v>170</v>
      </c>
      <c r="B106" s="58">
        <v>46185.0</v>
      </c>
      <c r="C106" s="8" t="s">
        <v>84</v>
      </c>
      <c r="D106" s="12" t="s">
        <v>170</v>
      </c>
      <c r="E106" s="12" t="s">
        <v>68</v>
      </c>
      <c r="F106" s="32">
        <v>46185.0</v>
      </c>
      <c r="G106" s="8">
        <v>750.0</v>
      </c>
      <c r="H106" s="8" t="str">
        <f t="shared" si="4"/>
        <v>Finished</v>
      </c>
      <c r="I106" s="8" t="s">
        <v>65</v>
      </c>
      <c r="J106" s="58">
        <v>46177.0</v>
      </c>
      <c r="K106" s="58">
        <v>46129.0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8" t="s">
        <v>170</v>
      </c>
      <c r="B107" s="58">
        <v>46185.0</v>
      </c>
      <c r="C107" s="8" t="s">
        <v>84</v>
      </c>
      <c r="D107" s="12" t="s">
        <v>170</v>
      </c>
      <c r="E107" s="12" t="s">
        <v>68</v>
      </c>
      <c r="F107" s="32">
        <v>46185.0</v>
      </c>
      <c r="G107" s="8">
        <v>750.0</v>
      </c>
      <c r="H107" s="8" t="str">
        <f t="shared" si="4"/>
        <v>Finished</v>
      </c>
      <c r="I107" s="8" t="s">
        <v>65</v>
      </c>
      <c r="J107" s="58">
        <v>46177.0</v>
      </c>
      <c r="K107" s="58">
        <v>46129.0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8" t="s">
        <v>171</v>
      </c>
      <c r="B108" s="58">
        <v>46188.0</v>
      </c>
      <c r="C108" s="8" t="s">
        <v>31</v>
      </c>
      <c r="D108" s="12" t="s">
        <v>171</v>
      </c>
      <c r="E108" s="12" t="s">
        <v>56</v>
      </c>
      <c r="F108" s="32">
        <v>46188.0</v>
      </c>
      <c r="G108" s="8">
        <v>2500.0</v>
      </c>
      <c r="H108" s="8" t="str">
        <f t="shared" si="4"/>
        <v>Finished</v>
      </c>
      <c r="I108" s="8" t="s">
        <v>28</v>
      </c>
      <c r="J108" s="58">
        <v>46195.0</v>
      </c>
      <c r="K108" s="58">
        <v>46225.0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8" t="s">
        <v>172</v>
      </c>
      <c r="B109" s="58">
        <v>46189.0</v>
      </c>
      <c r="C109" s="8" t="s">
        <v>31</v>
      </c>
      <c r="D109" s="12" t="s">
        <v>172</v>
      </c>
      <c r="E109" s="12" t="s">
        <v>56</v>
      </c>
      <c r="F109" s="32">
        <v>46189.0</v>
      </c>
      <c r="G109" s="8">
        <v>1550.9</v>
      </c>
      <c r="H109" s="8" t="str">
        <f t="shared" si="4"/>
        <v>Finished</v>
      </c>
      <c r="I109" s="8" t="s">
        <v>28</v>
      </c>
      <c r="J109" s="58">
        <v>46191.0</v>
      </c>
      <c r="K109" s="58">
        <v>46221.0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8" t="s">
        <v>173</v>
      </c>
      <c r="B110" s="58">
        <v>46190.0</v>
      </c>
      <c r="C110" s="8" t="s">
        <v>31</v>
      </c>
      <c r="D110" s="12" t="s">
        <v>173</v>
      </c>
      <c r="E110" s="12" t="s">
        <v>56</v>
      </c>
      <c r="F110" s="32">
        <v>46190.0</v>
      </c>
      <c r="G110" s="8">
        <v>538.23</v>
      </c>
      <c r="H110" s="8" t="str">
        <f t="shared" si="4"/>
        <v>Finished</v>
      </c>
      <c r="I110" s="8" t="s">
        <v>69</v>
      </c>
      <c r="J110" s="58">
        <v>46191.0</v>
      </c>
      <c r="K110" s="58">
        <v>46221.0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8" t="s">
        <v>174</v>
      </c>
      <c r="B111" s="58">
        <v>46190.0</v>
      </c>
      <c r="C111" s="8" t="s">
        <v>31</v>
      </c>
      <c r="D111" s="12" t="s">
        <v>174</v>
      </c>
      <c r="E111" s="12" t="s">
        <v>68</v>
      </c>
      <c r="F111" s="32">
        <v>46190.0</v>
      </c>
      <c r="G111" s="8">
        <v>20500.0</v>
      </c>
      <c r="H111" s="8" t="str">
        <f t="shared" si="4"/>
        <v>Finished</v>
      </c>
      <c r="I111" s="8" t="s">
        <v>69</v>
      </c>
      <c r="J111" s="58">
        <v>46192.0</v>
      </c>
      <c r="K111" s="58">
        <v>46224.0</v>
      </c>
      <c r="L111" s="6" t="s">
        <v>95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8" t="s">
        <v>144</v>
      </c>
      <c r="B112" s="58">
        <v>46190.0</v>
      </c>
      <c r="C112" s="8" t="s">
        <v>84</v>
      </c>
      <c r="D112" s="12" t="s">
        <v>144</v>
      </c>
      <c r="E112" s="12" t="s">
        <v>19</v>
      </c>
      <c r="F112" s="32">
        <v>46190.0</v>
      </c>
      <c r="G112" s="8">
        <v>420.0</v>
      </c>
      <c r="H112" s="8" t="str">
        <f t="shared" si="4"/>
        <v>Finished</v>
      </c>
      <c r="I112" s="8" t="s">
        <v>145</v>
      </c>
      <c r="J112" s="58">
        <v>46143.0</v>
      </c>
      <c r="K112" s="58">
        <v>46174.0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8" t="s">
        <v>175</v>
      </c>
      <c r="B113" s="58">
        <v>46190.0</v>
      </c>
      <c r="C113" s="8" t="s">
        <v>31</v>
      </c>
      <c r="D113" s="12" t="s">
        <v>175</v>
      </c>
      <c r="E113" s="12" t="s">
        <v>56</v>
      </c>
      <c r="F113" s="32">
        <v>46190.0</v>
      </c>
      <c r="G113" s="8">
        <v>1250.0</v>
      </c>
      <c r="H113" s="8" t="str">
        <f t="shared" si="4"/>
        <v>Finished</v>
      </c>
      <c r="I113" s="8" t="s">
        <v>28</v>
      </c>
      <c r="J113" s="58">
        <v>46143.0</v>
      </c>
      <c r="K113" s="58">
        <v>46173.0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8" t="s">
        <v>175</v>
      </c>
      <c r="B114" s="58">
        <v>46190.0</v>
      </c>
      <c r="C114" s="8" t="s">
        <v>31</v>
      </c>
      <c r="D114" s="12" t="s">
        <v>175</v>
      </c>
      <c r="E114" s="12" t="s">
        <v>56</v>
      </c>
      <c r="F114" s="32">
        <v>46190.0</v>
      </c>
      <c r="G114" s="8">
        <v>1250.0</v>
      </c>
      <c r="H114" s="8" t="str">
        <f t="shared" si="4"/>
        <v>Finished</v>
      </c>
      <c r="I114" s="8" t="s">
        <v>28</v>
      </c>
      <c r="J114" s="58">
        <v>46143.0</v>
      </c>
      <c r="K114" s="58">
        <v>46173.0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8" t="s">
        <v>176</v>
      </c>
      <c r="B115" s="58">
        <v>46191.0</v>
      </c>
      <c r="C115" s="8" t="s">
        <v>31</v>
      </c>
      <c r="D115" s="12" t="s">
        <v>176</v>
      </c>
      <c r="E115" s="12" t="s">
        <v>68</v>
      </c>
      <c r="F115" s="32">
        <v>46191.0</v>
      </c>
      <c r="G115" s="8">
        <v>431.08</v>
      </c>
      <c r="H115" s="8" t="s">
        <v>152</v>
      </c>
      <c r="I115" s="8" t="s">
        <v>69</v>
      </c>
      <c r="J115" s="58">
        <v>46196.0</v>
      </c>
      <c r="K115" s="58">
        <v>46226.0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8" t="s">
        <v>177</v>
      </c>
      <c r="B116" s="58">
        <v>46191.0</v>
      </c>
      <c r="C116" s="8" t="s">
        <v>31</v>
      </c>
      <c r="D116" s="12" t="s">
        <v>177</v>
      </c>
      <c r="E116" s="12" t="s">
        <v>59</v>
      </c>
      <c r="F116" s="32">
        <v>46191.0</v>
      </c>
      <c r="G116" s="8">
        <v>107.77</v>
      </c>
      <c r="H116" s="8" t="str">
        <f t="shared" ref="H116:H120" si="5">IF(TODAY()&gt;K116,"Finished",IF(TODAY()&lt;J116,"Not Started","Ongoing"))</f>
        <v>Finished</v>
      </c>
      <c r="I116" s="8" t="s">
        <v>69</v>
      </c>
      <c r="J116" s="58">
        <v>46193.0</v>
      </c>
      <c r="K116" s="58">
        <v>46223.0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8" t="s">
        <v>178</v>
      </c>
      <c r="B117" s="58">
        <v>46191.0</v>
      </c>
      <c r="C117" s="8" t="s">
        <v>31</v>
      </c>
      <c r="D117" s="12" t="s">
        <v>178</v>
      </c>
      <c r="E117" s="12" t="s">
        <v>56</v>
      </c>
      <c r="F117" s="32">
        <v>46191.0</v>
      </c>
      <c r="G117" s="8">
        <v>344.86</v>
      </c>
      <c r="H117" s="8" t="str">
        <f t="shared" si="5"/>
        <v>Finished</v>
      </c>
      <c r="I117" s="8" t="s">
        <v>69</v>
      </c>
      <c r="J117" s="58">
        <v>46195.0</v>
      </c>
      <c r="K117" s="58">
        <v>46225.0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8" t="s">
        <v>179</v>
      </c>
      <c r="B118" s="58">
        <v>46191.0</v>
      </c>
      <c r="C118" s="8" t="s">
        <v>84</v>
      </c>
      <c r="D118" s="12" t="s">
        <v>179</v>
      </c>
      <c r="E118" s="12" t="s">
        <v>68</v>
      </c>
      <c r="F118" s="32">
        <v>46191.0</v>
      </c>
      <c r="G118" s="8">
        <v>1200.0</v>
      </c>
      <c r="H118" s="8" t="str">
        <f t="shared" si="5"/>
        <v>Finished</v>
      </c>
      <c r="I118" s="8" t="s">
        <v>65</v>
      </c>
      <c r="J118" s="58">
        <v>46135.0</v>
      </c>
      <c r="K118" s="58">
        <v>46171.0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8" t="s">
        <v>180</v>
      </c>
      <c r="B119" s="58">
        <v>46191.0</v>
      </c>
      <c r="C119" s="8" t="s">
        <v>84</v>
      </c>
      <c r="D119" s="12" t="s">
        <v>180</v>
      </c>
      <c r="E119" s="12" t="s">
        <v>68</v>
      </c>
      <c r="F119" s="32">
        <v>46191.0</v>
      </c>
      <c r="G119" s="8">
        <v>190.0</v>
      </c>
      <c r="H119" s="8" t="str">
        <f t="shared" si="5"/>
        <v>Finished</v>
      </c>
      <c r="I119" s="8" t="s">
        <v>65</v>
      </c>
      <c r="J119" s="58">
        <v>46128.0</v>
      </c>
      <c r="K119" s="58">
        <v>46143.0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8" t="s">
        <v>180</v>
      </c>
      <c r="B120" s="58">
        <v>46191.0</v>
      </c>
      <c r="C120" s="8" t="s">
        <v>84</v>
      </c>
      <c r="D120" s="12" t="s">
        <v>180</v>
      </c>
      <c r="E120" s="12" t="s">
        <v>68</v>
      </c>
      <c r="F120" s="32">
        <v>46191.0</v>
      </c>
      <c r="G120" s="8">
        <v>190.0</v>
      </c>
      <c r="H120" s="8" t="str">
        <f t="shared" si="5"/>
        <v>Finished</v>
      </c>
      <c r="I120" s="8" t="s">
        <v>65</v>
      </c>
      <c r="J120" s="58">
        <v>46128.0</v>
      </c>
      <c r="K120" s="58">
        <v>46143.0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42" t="s">
        <v>181</v>
      </c>
      <c r="B121" s="63">
        <v>46143.0</v>
      </c>
      <c r="C121" s="63" t="s">
        <v>31</v>
      </c>
      <c r="D121" s="64" t="s">
        <v>181</v>
      </c>
      <c r="E121" s="64" t="s">
        <v>56</v>
      </c>
      <c r="F121" s="65">
        <v>46082.0</v>
      </c>
      <c r="G121" s="42">
        <v>12000.0</v>
      </c>
      <c r="H121" s="42" t="s">
        <v>45</v>
      </c>
      <c r="I121" s="42" t="s">
        <v>28</v>
      </c>
      <c r="J121" s="65">
        <v>46082.0</v>
      </c>
      <c r="K121" s="66">
        <v>46234.0</v>
      </c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8" t="s">
        <v>182</v>
      </c>
      <c r="B122" s="58">
        <v>46143.0</v>
      </c>
      <c r="C122" s="58" t="s">
        <v>84</v>
      </c>
      <c r="D122" s="12" t="s">
        <v>182</v>
      </c>
      <c r="E122" s="12" t="s">
        <v>19</v>
      </c>
      <c r="F122" s="32">
        <v>46143.0</v>
      </c>
      <c r="G122" s="8">
        <v>2545.42</v>
      </c>
      <c r="H122" s="8" t="str">
        <f t="shared" ref="H122:H124" si="6">IF(TODAY()&gt;K122,"Finished",IF(TODAY()&lt;J122,"Not Started","Ongoing"))</f>
        <v>Finished</v>
      </c>
      <c r="I122" s="8" t="s">
        <v>145</v>
      </c>
      <c r="J122" s="58">
        <v>46143.0</v>
      </c>
      <c r="K122" s="58">
        <v>46143.0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8" t="s">
        <v>183</v>
      </c>
      <c r="B123" s="58">
        <v>46150.0</v>
      </c>
      <c r="C123" s="58" t="s">
        <v>84</v>
      </c>
      <c r="D123" s="12" t="s">
        <v>183</v>
      </c>
      <c r="E123" s="12" t="s">
        <v>19</v>
      </c>
      <c r="F123" s="32">
        <v>46150.0</v>
      </c>
      <c r="G123" s="8">
        <v>1000.0</v>
      </c>
      <c r="H123" s="8" t="str">
        <f t="shared" si="6"/>
        <v>Finished</v>
      </c>
      <c r="I123" s="8" t="s">
        <v>145</v>
      </c>
      <c r="J123" s="58">
        <v>46150.0</v>
      </c>
      <c r="K123" s="58">
        <v>46150.0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8" t="s">
        <v>184</v>
      </c>
      <c r="B124" s="58">
        <v>46142.0</v>
      </c>
      <c r="C124" s="58" t="s">
        <v>84</v>
      </c>
      <c r="D124" s="12" t="s">
        <v>184</v>
      </c>
      <c r="E124" s="12" t="s">
        <v>19</v>
      </c>
      <c r="F124" s="32">
        <v>46142.0</v>
      </c>
      <c r="G124" s="8">
        <v>683.7</v>
      </c>
      <c r="H124" s="8" t="str">
        <f t="shared" si="6"/>
        <v>Finished</v>
      </c>
      <c r="I124" s="8" t="s">
        <v>145</v>
      </c>
      <c r="J124" s="58">
        <v>46143.0</v>
      </c>
      <c r="K124" s="58">
        <v>46143.0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8" t="s">
        <v>64</v>
      </c>
      <c r="B125" s="58">
        <v>46023.0</v>
      </c>
      <c r="C125" s="8" t="s">
        <v>185</v>
      </c>
      <c r="D125" s="8" t="s">
        <v>64</v>
      </c>
      <c r="E125" s="12"/>
      <c r="F125" s="32">
        <v>46023.0</v>
      </c>
      <c r="G125" s="8">
        <v>8485.54</v>
      </c>
      <c r="H125" s="8" t="s">
        <v>114</v>
      </c>
      <c r="I125" s="8" t="s">
        <v>185</v>
      </c>
      <c r="J125" s="58">
        <v>46023.0</v>
      </c>
      <c r="K125" s="58">
        <v>46053.0</v>
      </c>
      <c r="L125" s="6"/>
      <c r="M125" s="6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8" t="s">
        <v>64</v>
      </c>
      <c r="B126" s="58">
        <v>46054.0</v>
      </c>
      <c r="C126" s="8" t="s">
        <v>185</v>
      </c>
      <c r="D126" s="8" t="s">
        <v>64</v>
      </c>
      <c r="E126" s="12"/>
      <c r="F126" s="32">
        <v>46054.0</v>
      </c>
      <c r="G126" s="8">
        <v>4224.73</v>
      </c>
      <c r="H126" s="8" t="s">
        <v>114</v>
      </c>
      <c r="I126" s="8" t="s">
        <v>185</v>
      </c>
      <c r="J126" s="58">
        <v>46054.0</v>
      </c>
      <c r="K126" s="58">
        <v>46081.0</v>
      </c>
      <c r="L126" s="6"/>
      <c r="M126" s="69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8" t="s">
        <v>64</v>
      </c>
      <c r="B127" s="58">
        <v>46082.0</v>
      </c>
      <c r="C127" s="8" t="s">
        <v>185</v>
      </c>
      <c r="D127" s="8" t="s">
        <v>64</v>
      </c>
      <c r="E127" s="12"/>
      <c r="F127" s="32">
        <v>46082.0</v>
      </c>
      <c r="G127" s="8">
        <v>15926.98</v>
      </c>
      <c r="H127" s="8" t="s">
        <v>114</v>
      </c>
      <c r="I127" s="8" t="s">
        <v>185</v>
      </c>
      <c r="J127" s="58">
        <v>46082.0</v>
      </c>
      <c r="K127" s="58">
        <v>46112.0</v>
      </c>
      <c r="L127" s="6"/>
      <c r="M127" s="6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8" t="s">
        <v>64</v>
      </c>
      <c r="B128" s="58">
        <v>46113.0</v>
      </c>
      <c r="C128" s="8" t="s">
        <v>185</v>
      </c>
      <c r="D128" s="8" t="s">
        <v>64</v>
      </c>
      <c r="E128" s="12"/>
      <c r="F128" s="32">
        <v>46113.0</v>
      </c>
      <c r="G128" s="8">
        <v>30465.2</v>
      </c>
      <c r="H128" s="8" t="s">
        <v>114</v>
      </c>
      <c r="I128" s="8" t="s">
        <v>185</v>
      </c>
      <c r="J128" s="58">
        <v>46113.0</v>
      </c>
      <c r="K128" s="58">
        <v>46142.0</v>
      </c>
      <c r="L128" s="6"/>
      <c r="M128" s="6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8" t="s">
        <v>64</v>
      </c>
      <c r="B129" s="58">
        <v>46143.0</v>
      </c>
      <c r="C129" s="8" t="s">
        <v>185</v>
      </c>
      <c r="D129" s="8" t="s">
        <v>64</v>
      </c>
      <c r="E129" s="12"/>
      <c r="F129" s="32">
        <v>46143.0</v>
      </c>
      <c r="G129" s="8">
        <v>56660.3</v>
      </c>
      <c r="H129" s="8" t="s">
        <v>114</v>
      </c>
      <c r="I129" s="8" t="s">
        <v>185</v>
      </c>
      <c r="J129" s="58">
        <v>46143.0</v>
      </c>
      <c r="K129" s="58">
        <v>46173.0</v>
      </c>
      <c r="L129" s="6"/>
      <c r="M129" s="6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8" t="s">
        <v>64</v>
      </c>
      <c r="B130" s="58">
        <v>46174.0</v>
      </c>
      <c r="C130" s="8" t="s">
        <v>185</v>
      </c>
      <c r="D130" s="8" t="s">
        <v>64</v>
      </c>
      <c r="E130" s="12"/>
      <c r="F130" s="32">
        <v>46174.0</v>
      </c>
      <c r="G130" s="8">
        <v>143281.6</v>
      </c>
      <c r="H130" s="8" t="s">
        <v>114</v>
      </c>
      <c r="I130" s="8" t="s">
        <v>185</v>
      </c>
      <c r="J130" s="58">
        <v>46174.0</v>
      </c>
      <c r="K130" s="58">
        <v>46203.0</v>
      </c>
      <c r="L130" s="6"/>
      <c r="M130" s="6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8" t="s">
        <v>64</v>
      </c>
      <c r="B131" s="58">
        <v>46204.0</v>
      </c>
      <c r="C131" s="8" t="s">
        <v>185</v>
      </c>
      <c r="D131" s="8" t="s">
        <v>64</v>
      </c>
      <c r="E131" s="12"/>
      <c r="F131" s="32">
        <v>46204.0</v>
      </c>
      <c r="G131" s="8">
        <v>91548.31</v>
      </c>
      <c r="H131" s="8" t="s">
        <v>114</v>
      </c>
      <c r="I131" s="8" t="s">
        <v>185</v>
      </c>
      <c r="J131" s="58">
        <v>46204.0</v>
      </c>
      <c r="K131" s="58">
        <v>46234.0</v>
      </c>
      <c r="L131" s="6"/>
      <c r="M131" s="6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8" t="s">
        <v>64</v>
      </c>
      <c r="B132" s="58">
        <v>46235.0</v>
      </c>
      <c r="C132" s="8" t="s">
        <v>185</v>
      </c>
      <c r="D132" s="8" t="s">
        <v>64</v>
      </c>
      <c r="E132" s="12"/>
      <c r="F132" s="32">
        <v>46235.0</v>
      </c>
      <c r="G132" s="8">
        <v>46113.56</v>
      </c>
      <c r="H132" s="8" t="s">
        <v>114</v>
      </c>
      <c r="I132" s="8" t="s">
        <v>185</v>
      </c>
      <c r="J132" s="58">
        <v>46235.0</v>
      </c>
      <c r="K132" s="58">
        <v>46265.0</v>
      </c>
      <c r="L132" s="6"/>
      <c r="M132" s="6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8" t="s">
        <v>67</v>
      </c>
      <c r="B133" s="58">
        <v>46023.0</v>
      </c>
      <c r="C133" s="8"/>
      <c r="D133" s="8" t="s">
        <v>67</v>
      </c>
      <c r="E133" s="12"/>
      <c r="F133" s="32">
        <v>46023.0</v>
      </c>
      <c r="G133" s="8">
        <v>43.0</v>
      </c>
      <c r="H133" s="8" t="str">
        <f t="shared" ref="H133:H140" si="7">IF(TODAY()&gt;K133,"Finished",IF(TODAY()&lt;J133,"Not Started","Ongoing"))</f>
        <v>Finished</v>
      </c>
      <c r="I133" s="8"/>
      <c r="J133" s="58">
        <v>46023.0</v>
      </c>
      <c r="K133" s="58">
        <v>46053.0</v>
      </c>
      <c r="L133" s="6"/>
      <c r="M133" s="6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8" t="s">
        <v>67</v>
      </c>
      <c r="B134" s="58">
        <v>46054.0</v>
      </c>
      <c r="C134" s="8"/>
      <c r="D134" s="8" t="s">
        <v>67</v>
      </c>
      <c r="E134" s="12"/>
      <c r="F134" s="32">
        <v>46054.0</v>
      </c>
      <c r="G134" s="8">
        <v>0.0</v>
      </c>
      <c r="H134" s="8" t="str">
        <f t="shared" si="7"/>
        <v>Finished</v>
      </c>
      <c r="I134" s="8"/>
      <c r="J134" s="58">
        <v>46054.0</v>
      </c>
      <c r="K134" s="58">
        <v>46081.0</v>
      </c>
      <c r="L134" s="6"/>
      <c r="M134" s="6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8" t="s">
        <v>67</v>
      </c>
      <c r="B135" s="58">
        <v>46082.0</v>
      </c>
      <c r="C135" s="8"/>
      <c r="D135" s="8" t="s">
        <v>67</v>
      </c>
      <c r="E135" s="12"/>
      <c r="F135" s="32">
        <v>46082.0</v>
      </c>
      <c r="G135" s="8">
        <v>122.0</v>
      </c>
      <c r="H135" s="8" t="str">
        <f t="shared" si="7"/>
        <v>Finished</v>
      </c>
      <c r="I135" s="8"/>
      <c r="J135" s="58">
        <v>46082.0</v>
      </c>
      <c r="K135" s="58">
        <v>46112.0</v>
      </c>
      <c r="L135" s="6"/>
      <c r="M135" s="6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8" t="s">
        <v>67</v>
      </c>
      <c r="B136" s="58">
        <v>46113.0</v>
      </c>
      <c r="C136" s="8"/>
      <c r="D136" s="8" t="s">
        <v>67</v>
      </c>
      <c r="E136" s="12"/>
      <c r="F136" s="32">
        <v>46113.0</v>
      </c>
      <c r="G136" s="8">
        <f>7207-6025-214</f>
        <v>968</v>
      </c>
      <c r="H136" s="8" t="str">
        <f t="shared" si="7"/>
        <v>Finished</v>
      </c>
      <c r="I136" s="8"/>
      <c r="J136" s="58">
        <v>46113.0</v>
      </c>
      <c r="K136" s="58">
        <v>46142.0</v>
      </c>
      <c r="L136" s="6"/>
      <c r="M136" s="6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8" t="s">
        <v>67</v>
      </c>
      <c r="B137" s="58">
        <v>46143.0</v>
      </c>
      <c r="C137" s="8"/>
      <c r="D137" s="8" t="s">
        <v>67</v>
      </c>
      <c r="E137" s="12"/>
      <c r="F137" s="32">
        <v>46143.0</v>
      </c>
      <c r="G137" s="8">
        <f>10384-7986-212</f>
        <v>2186</v>
      </c>
      <c r="H137" s="8" t="str">
        <f t="shared" si="7"/>
        <v>Finished</v>
      </c>
      <c r="I137" s="8"/>
      <c r="J137" s="58">
        <v>46143.0</v>
      </c>
      <c r="K137" s="58">
        <v>46173.0</v>
      </c>
      <c r="L137" s="6"/>
      <c r="M137" s="6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8" t="s">
        <v>67</v>
      </c>
      <c r="B138" s="58">
        <v>46174.0</v>
      </c>
      <c r="C138" s="8"/>
      <c r="D138" s="8" t="s">
        <v>67</v>
      </c>
      <c r="E138" s="12"/>
      <c r="F138" s="32">
        <v>46174.0</v>
      </c>
      <c r="G138" s="8">
        <f>4489-216</f>
        <v>4273</v>
      </c>
      <c r="H138" s="8" t="str">
        <f t="shared" si="7"/>
        <v>Finished</v>
      </c>
      <c r="I138" s="8"/>
      <c r="J138" s="58">
        <v>46174.0</v>
      </c>
      <c r="K138" s="58">
        <v>46203.0</v>
      </c>
      <c r="L138" s="6"/>
      <c r="M138" s="6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8" t="s">
        <v>67</v>
      </c>
      <c r="B139" s="58">
        <v>46204.0</v>
      </c>
      <c r="C139" s="8"/>
      <c r="D139" s="8" t="s">
        <v>67</v>
      </c>
      <c r="E139" s="12"/>
      <c r="F139" s="32">
        <v>46204.0</v>
      </c>
      <c r="G139" s="8">
        <f>15568-219</f>
        <v>15349</v>
      </c>
      <c r="H139" s="8" t="str">
        <f t="shared" si="7"/>
        <v>Finished</v>
      </c>
      <c r="I139" s="8"/>
      <c r="J139" s="58">
        <v>46204.0</v>
      </c>
      <c r="K139" s="58">
        <v>46234.0</v>
      </c>
      <c r="L139" s="6"/>
      <c r="M139" s="6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8" t="s">
        <v>67</v>
      </c>
      <c r="B140" s="58">
        <v>46204.0</v>
      </c>
      <c r="C140" s="8"/>
      <c r="D140" s="8" t="s">
        <v>67</v>
      </c>
      <c r="E140" s="12"/>
      <c r="F140" s="32">
        <v>46235.0</v>
      </c>
      <c r="G140" s="8">
        <v>1778.0</v>
      </c>
      <c r="H140" s="8" t="str">
        <f t="shared" si="7"/>
        <v>Finished</v>
      </c>
      <c r="I140" s="8"/>
      <c r="J140" s="58">
        <v>46204.0</v>
      </c>
      <c r="K140" s="58">
        <v>46215.0</v>
      </c>
      <c r="L140" s="6"/>
      <c r="M140" s="6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8" t="s">
        <v>186</v>
      </c>
      <c r="B141" s="58">
        <v>46191.0</v>
      </c>
      <c r="C141" s="8" t="s">
        <v>31</v>
      </c>
      <c r="D141" s="12" t="s">
        <v>186</v>
      </c>
      <c r="E141" s="12" t="s">
        <v>56</v>
      </c>
      <c r="F141" s="32">
        <v>46191.0</v>
      </c>
      <c r="G141" s="8">
        <v>1163.9</v>
      </c>
      <c r="H141" s="42" t="s">
        <v>114</v>
      </c>
      <c r="I141" s="8" t="s">
        <v>69</v>
      </c>
      <c r="J141" s="58">
        <v>46202.0</v>
      </c>
      <c r="K141" s="58">
        <v>46226.0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8" t="s">
        <v>187</v>
      </c>
      <c r="B142" s="58">
        <v>46191.0</v>
      </c>
      <c r="C142" s="8" t="s">
        <v>84</v>
      </c>
      <c r="D142" s="12" t="s">
        <v>187</v>
      </c>
      <c r="E142" s="12" t="s">
        <v>68</v>
      </c>
      <c r="F142" s="32">
        <v>46191.0</v>
      </c>
      <c r="G142" s="8">
        <v>400.0</v>
      </c>
      <c r="H142" s="8" t="str">
        <f t="shared" ref="H142:H144" si="8">IF(TODAY()&gt;K142,"Finished",IF(TODAY()&lt;J142,"Not Started","Ongoing"))</f>
        <v>Finished</v>
      </c>
      <c r="I142" s="8" t="s">
        <v>65</v>
      </c>
      <c r="J142" s="58">
        <v>46143.0</v>
      </c>
      <c r="K142" s="58">
        <v>46174.0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8" t="s">
        <v>187</v>
      </c>
      <c r="B143" s="58">
        <v>46191.0</v>
      </c>
      <c r="C143" s="8" t="s">
        <v>84</v>
      </c>
      <c r="D143" s="12" t="s">
        <v>187</v>
      </c>
      <c r="E143" s="12" t="s">
        <v>68</v>
      </c>
      <c r="F143" s="32">
        <v>46191.0</v>
      </c>
      <c r="G143" s="8">
        <v>400.0</v>
      </c>
      <c r="H143" s="8" t="str">
        <f t="shared" si="8"/>
        <v>Finished</v>
      </c>
      <c r="I143" s="8" t="s">
        <v>65</v>
      </c>
      <c r="J143" s="58">
        <v>46143.0</v>
      </c>
      <c r="K143" s="58">
        <v>46174.0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8" t="s">
        <v>187</v>
      </c>
      <c r="B144" s="58">
        <v>46191.0</v>
      </c>
      <c r="C144" s="8" t="s">
        <v>84</v>
      </c>
      <c r="D144" s="12" t="s">
        <v>187</v>
      </c>
      <c r="E144" s="12" t="s">
        <v>68</v>
      </c>
      <c r="F144" s="32">
        <v>46191.0</v>
      </c>
      <c r="G144" s="8">
        <v>400.0</v>
      </c>
      <c r="H144" s="8" t="str">
        <f t="shared" si="8"/>
        <v>Finished</v>
      </c>
      <c r="I144" s="8" t="s">
        <v>65</v>
      </c>
      <c r="J144" s="58">
        <v>46143.0</v>
      </c>
      <c r="K144" s="58">
        <v>46174.0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8" t="s">
        <v>188</v>
      </c>
      <c r="B145" s="58">
        <v>46192.0</v>
      </c>
      <c r="C145" s="8" t="s">
        <v>31</v>
      </c>
      <c r="D145" s="12" t="s">
        <v>188</v>
      </c>
      <c r="E145" s="12" t="s">
        <v>68</v>
      </c>
      <c r="F145" s="32">
        <v>46192.0</v>
      </c>
      <c r="G145" s="48">
        <v>4200.0</v>
      </c>
      <c r="H145" s="8" t="s">
        <v>189</v>
      </c>
      <c r="I145" s="8" t="s">
        <v>69</v>
      </c>
      <c r="J145" s="58">
        <v>46205.0</v>
      </c>
      <c r="K145" s="58">
        <v>46249.0</v>
      </c>
      <c r="L145" s="6" t="s">
        <v>190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8" t="s">
        <v>191</v>
      </c>
      <c r="B146" s="58">
        <v>46192.0</v>
      </c>
      <c r="C146" s="8" t="s">
        <v>31</v>
      </c>
      <c r="D146" s="12" t="s">
        <v>191</v>
      </c>
      <c r="E146" s="12" t="s">
        <v>59</v>
      </c>
      <c r="F146" s="32">
        <v>46192.0</v>
      </c>
      <c r="G146" s="8">
        <f>1090.46+1094</f>
        <v>2184.46</v>
      </c>
      <c r="H146" s="8" t="str">
        <f t="shared" ref="H146:H149" si="9">IF(TODAY()&gt;K146,"Finished",IF(TODAY()&lt;J146,"Not Started","Ongoing"))</f>
        <v>Finished</v>
      </c>
      <c r="I146" s="8" t="s">
        <v>69</v>
      </c>
      <c r="J146" s="58">
        <v>46193.0</v>
      </c>
      <c r="K146" s="58">
        <v>46223.0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8" t="s">
        <v>192</v>
      </c>
      <c r="B147" s="58">
        <v>46195.0</v>
      </c>
      <c r="C147" s="8" t="s">
        <v>31</v>
      </c>
      <c r="D147" s="12" t="s">
        <v>192</v>
      </c>
      <c r="E147" s="12" t="s">
        <v>56</v>
      </c>
      <c r="F147" s="32">
        <v>46195.0</v>
      </c>
      <c r="G147" s="8">
        <v>458.08</v>
      </c>
      <c r="H147" s="8" t="str">
        <f t="shared" si="9"/>
        <v>Finished</v>
      </c>
      <c r="I147" s="8" t="s">
        <v>69</v>
      </c>
      <c r="J147" s="58">
        <v>46195.0</v>
      </c>
      <c r="K147" s="58">
        <v>46199.0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8" t="s">
        <v>193</v>
      </c>
      <c r="B148" s="58">
        <v>46195.0</v>
      </c>
      <c r="C148" s="8" t="s">
        <v>31</v>
      </c>
      <c r="D148" s="12" t="s">
        <v>193</v>
      </c>
      <c r="E148" s="12" t="s">
        <v>59</v>
      </c>
      <c r="F148" s="32">
        <v>46195.0</v>
      </c>
      <c r="G148" s="8">
        <f>261.76+613</f>
        <v>874.76</v>
      </c>
      <c r="H148" s="8" t="str">
        <f t="shared" si="9"/>
        <v>Finished</v>
      </c>
      <c r="I148" s="8" t="s">
        <v>69</v>
      </c>
      <c r="J148" s="58">
        <v>46195.0</v>
      </c>
      <c r="K148" s="58">
        <v>46199.0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8" t="s">
        <v>194</v>
      </c>
      <c r="B149" s="58">
        <v>46195.0</v>
      </c>
      <c r="C149" s="8" t="s">
        <v>31</v>
      </c>
      <c r="D149" s="12" t="s">
        <v>194</v>
      </c>
      <c r="E149" s="12" t="s">
        <v>59</v>
      </c>
      <c r="F149" s="32">
        <v>46195.0</v>
      </c>
      <c r="G149" s="8">
        <v>218.13</v>
      </c>
      <c r="H149" s="8" t="str">
        <f t="shared" si="9"/>
        <v>Finished</v>
      </c>
      <c r="I149" s="8" t="s">
        <v>69</v>
      </c>
      <c r="J149" s="58">
        <v>46198.0</v>
      </c>
      <c r="K149" s="58">
        <v>46218.0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8" t="s">
        <v>200</v>
      </c>
      <c r="B150" s="58">
        <v>46195.0</v>
      </c>
      <c r="C150" s="8" t="s">
        <v>31</v>
      </c>
      <c r="D150" s="12" t="s">
        <v>200</v>
      </c>
      <c r="E150" s="12" t="s">
        <v>68</v>
      </c>
      <c r="F150" s="32">
        <v>46195.0</v>
      </c>
      <c r="G150" s="8">
        <v>1000.0</v>
      </c>
      <c r="H150" s="8" t="s">
        <v>114</v>
      </c>
      <c r="I150" s="8" t="s">
        <v>28</v>
      </c>
      <c r="J150" s="58">
        <v>46195.0</v>
      </c>
      <c r="K150" s="58">
        <v>46225.0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8" t="s">
        <v>202</v>
      </c>
      <c r="B151" s="58">
        <v>46197.0</v>
      </c>
      <c r="C151" s="8" t="s">
        <v>31</v>
      </c>
      <c r="D151" s="12" t="s">
        <v>202</v>
      </c>
      <c r="E151" s="12" t="s">
        <v>56</v>
      </c>
      <c r="F151" s="32">
        <v>46197.0</v>
      </c>
      <c r="G151" s="8">
        <v>438.41</v>
      </c>
      <c r="H151" s="8" t="str">
        <f>IF(TODAY()&gt;K151,"Finished",IF(TODAY()&lt;J151,"Not Started","Ongoing"))</f>
        <v>Finished</v>
      </c>
      <c r="I151" s="8" t="s">
        <v>69</v>
      </c>
      <c r="J151" s="58">
        <v>46201.0</v>
      </c>
      <c r="K151" s="58">
        <v>46202.0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8" t="s">
        <v>203</v>
      </c>
      <c r="B152" s="58">
        <v>46198.0</v>
      </c>
      <c r="C152" s="8" t="s">
        <v>31</v>
      </c>
      <c r="D152" s="12" t="s">
        <v>203</v>
      </c>
      <c r="E152" s="12" t="s">
        <v>56</v>
      </c>
      <c r="F152" s="32">
        <v>46198.0</v>
      </c>
      <c r="G152" s="8">
        <v>881.67</v>
      </c>
      <c r="H152" s="8" t="s">
        <v>152</v>
      </c>
      <c r="I152" s="8" t="s">
        <v>69</v>
      </c>
      <c r="J152" s="58">
        <v>46198.0</v>
      </c>
      <c r="K152" s="58">
        <v>46198.0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8" t="s">
        <v>204</v>
      </c>
      <c r="B153" s="58">
        <v>46198.0</v>
      </c>
      <c r="C153" s="8" t="s">
        <v>31</v>
      </c>
      <c r="D153" s="12" t="s">
        <v>204</v>
      </c>
      <c r="E153" s="12" t="s">
        <v>68</v>
      </c>
      <c r="F153" s="32">
        <v>46198.0</v>
      </c>
      <c r="G153" s="8">
        <v>1100.0</v>
      </c>
      <c r="H153" s="8" t="str">
        <f t="shared" ref="H153:H154" si="10">IF(TODAY()&gt;K153,"Finished",IF(TODAY()&lt;J153,"Not Started","Ongoing"))</f>
        <v>Finished</v>
      </c>
      <c r="I153" s="8" t="s">
        <v>69</v>
      </c>
      <c r="J153" s="58">
        <v>46218.0</v>
      </c>
      <c r="K153" s="58">
        <v>46226.0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8" t="s">
        <v>205</v>
      </c>
      <c r="B154" s="58">
        <v>46199.0</v>
      </c>
      <c r="C154" s="8" t="s">
        <v>31</v>
      </c>
      <c r="D154" s="12" t="s">
        <v>205</v>
      </c>
      <c r="E154" s="12" t="s">
        <v>19</v>
      </c>
      <c r="F154" s="58">
        <v>46199.0</v>
      </c>
      <c r="G154" s="8">
        <v>3000.0</v>
      </c>
      <c r="H154" s="8" t="str">
        <f t="shared" si="10"/>
        <v>Finished</v>
      </c>
      <c r="I154" s="8" t="s">
        <v>28</v>
      </c>
      <c r="J154" s="58">
        <v>46174.0</v>
      </c>
      <c r="K154" s="58">
        <v>46218.0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8" t="s">
        <v>206</v>
      </c>
      <c r="B155" s="58">
        <v>46214.0</v>
      </c>
      <c r="C155" s="8" t="s">
        <v>31</v>
      </c>
      <c r="D155" s="8" t="s">
        <v>206</v>
      </c>
      <c r="E155" s="12" t="s">
        <v>59</v>
      </c>
      <c r="F155" s="58">
        <v>46214.0</v>
      </c>
      <c r="G155" s="8">
        <v>43.74</v>
      </c>
      <c r="H155" s="8" t="s">
        <v>152</v>
      </c>
      <c r="I155" s="8" t="s">
        <v>69</v>
      </c>
      <c r="J155" s="58">
        <v>46223.0</v>
      </c>
      <c r="K155" s="58">
        <v>46234.0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1" t="s">
        <v>207</v>
      </c>
      <c r="B156" s="72">
        <v>46227.0</v>
      </c>
      <c r="C156" s="8" t="s">
        <v>31</v>
      </c>
      <c r="D156" s="64" t="s">
        <v>207</v>
      </c>
      <c r="E156" s="12" t="s">
        <v>19</v>
      </c>
      <c r="F156" s="72">
        <v>46227.0</v>
      </c>
      <c r="G156" s="48">
        <v>348.97</v>
      </c>
      <c r="H156" s="48" t="s">
        <v>114</v>
      </c>
      <c r="I156" s="8" t="s">
        <v>69</v>
      </c>
      <c r="J156" s="72">
        <v>46230.0</v>
      </c>
      <c r="K156" s="72">
        <v>46265.0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8" t="s">
        <v>208</v>
      </c>
      <c r="B157" s="58">
        <v>46204.0</v>
      </c>
      <c r="C157" s="8" t="s">
        <v>84</v>
      </c>
      <c r="D157" s="12" t="s">
        <v>208</v>
      </c>
      <c r="E157" s="12" t="s">
        <v>68</v>
      </c>
      <c r="F157" s="32">
        <v>46204.0</v>
      </c>
      <c r="G157" s="8">
        <v>58.33</v>
      </c>
      <c r="H157" s="8" t="s">
        <v>114</v>
      </c>
      <c r="I157" s="8" t="s">
        <v>145</v>
      </c>
      <c r="J157" s="58">
        <v>46195.0</v>
      </c>
      <c r="K157" s="58">
        <v>46198.0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8" t="s">
        <v>208</v>
      </c>
      <c r="B158" s="58">
        <v>46204.0</v>
      </c>
      <c r="C158" s="8" t="s">
        <v>84</v>
      </c>
      <c r="D158" s="12" t="s">
        <v>208</v>
      </c>
      <c r="E158" s="12" t="s">
        <v>68</v>
      </c>
      <c r="F158" s="32">
        <v>46204.0</v>
      </c>
      <c r="G158" s="8">
        <v>58.34</v>
      </c>
      <c r="H158" s="8" t="s">
        <v>114</v>
      </c>
      <c r="I158" s="8" t="s">
        <v>145</v>
      </c>
      <c r="J158" s="58">
        <v>46195.0</v>
      </c>
      <c r="K158" s="58">
        <v>46198.0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8" t="s">
        <v>208</v>
      </c>
      <c r="B159" s="58">
        <v>46204.0</v>
      </c>
      <c r="C159" s="8" t="s">
        <v>84</v>
      </c>
      <c r="D159" s="12" t="s">
        <v>208</v>
      </c>
      <c r="E159" s="12" t="s">
        <v>68</v>
      </c>
      <c r="F159" s="32">
        <v>46204.0</v>
      </c>
      <c r="G159" s="8">
        <v>58.33</v>
      </c>
      <c r="H159" s="8" t="s">
        <v>114</v>
      </c>
      <c r="I159" s="8" t="s">
        <v>145</v>
      </c>
      <c r="J159" s="58">
        <v>46195.0</v>
      </c>
      <c r="K159" s="58">
        <v>46198.0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8" t="s">
        <v>163</v>
      </c>
      <c r="B160" s="58">
        <v>46204.0</v>
      </c>
      <c r="C160" s="8" t="s">
        <v>31</v>
      </c>
      <c r="D160" s="12" t="s">
        <v>163</v>
      </c>
      <c r="E160" s="12" t="s">
        <v>19</v>
      </c>
      <c r="F160" s="58">
        <v>46204.0</v>
      </c>
      <c r="G160" s="8">
        <v>1500.0</v>
      </c>
      <c r="H160" s="73" t="s">
        <v>209</v>
      </c>
      <c r="I160" s="8" t="s">
        <v>28</v>
      </c>
      <c r="J160" s="58">
        <v>46204.0</v>
      </c>
      <c r="K160" s="58">
        <v>46266.0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8" t="s">
        <v>163</v>
      </c>
      <c r="B161" s="58">
        <v>46204.0</v>
      </c>
      <c r="C161" s="8" t="s">
        <v>31</v>
      </c>
      <c r="D161" s="12" t="s">
        <v>163</v>
      </c>
      <c r="E161" s="12" t="s">
        <v>19</v>
      </c>
      <c r="F161" s="58">
        <v>46204.0</v>
      </c>
      <c r="G161" s="8">
        <v>1500.0</v>
      </c>
      <c r="H161" s="73" t="s">
        <v>209</v>
      </c>
      <c r="I161" s="8" t="s">
        <v>28</v>
      </c>
      <c r="J161" s="58">
        <v>46204.0</v>
      </c>
      <c r="K161" s="58">
        <v>46266.0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8" t="s">
        <v>210</v>
      </c>
      <c r="B162" s="58">
        <v>46204.0</v>
      </c>
      <c r="C162" s="8" t="s">
        <v>31</v>
      </c>
      <c r="D162" s="12" t="s">
        <v>210</v>
      </c>
      <c r="E162" s="12" t="s">
        <v>19</v>
      </c>
      <c r="F162" s="58">
        <v>46204.0</v>
      </c>
      <c r="G162" s="8">
        <v>250.0</v>
      </c>
      <c r="H162" s="8"/>
      <c r="I162" s="8" t="s">
        <v>28</v>
      </c>
      <c r="J162" s="58">
        <v>46204.0</v>
      </c>
      <c r="K162" s="58">
        <v>46266.0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8" t="s">
        <v>210</v>
      </c>
      <c r="B163" s="58">
        <v>46204.0</v>
      </c>
      <c r="C163" s="8" t="s">
        <v>31</v>
      </c>
      <c r="D163" s="12" t="s">
        <v>210</v>
      </c>
      <c r="E163" s="12" t="s">
        <v>19</v>
      </c>
      <c r="F163" s="58">
        <v>46204.0</v>
      </c>
      <c r="G163" s="8">
        <v>250.0</v>
      </c>
      <c r="H163" s="8"/>
      <c r="I163" s="8" t="s">
        <v>28</v>
      </c>
      <c r="J163" s="58">
        <v>46204.0</v>
      </c>
      <c r="K163" s="58">
        <v>46266.0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8" t="s">
        <v>211</v>
      </c>
      <c r="B164" s="58">
        <v>46204.0</v>
      </c>
      <c r="C164" s="8" t="s">
        <v>31</v>
      </c>
      <c r="D164" s="12" t="s">
        <v>211</v>
      </c>
      <c r="E164" s="12" t="s">
        <v>68</v>
      </c>
      <c r="F164" s="32">
        <v>46204.0</v>
      </c>
      <c r="G164" s="8">
        <v>3000.0</v>
      </c>
      <c r="H164" s="8" t="s">
        <v>45</v>
      </c>
      <c r="I164" s="8" t="s">
        <v>28</v>
      </c>
      <c r="J164" s="58">
        <v>46204.0</v>
      </c>
      <c r="K164" s="58">
        <v>46296.0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8" t="s">
        <v>212</v>
      </c>
      <c r="B165" s="58">
        <v>46205.0</v>
      </c>
      <c r="C165" s="8" t="s">
        <v>31</v>
      </c>
      <c r="D165" s="12" t="s">
        <v>212</v>
      </c>
      <c r="E165" s="12" t="s">
        <v>19</v>
      </c>
      <c r="F165" s="58">
        <v>46205.0</v>
      </c>
      <c r="G165" s="8">
        <v>650.0</v>
      </c>
      <c r="H165" s="8"/>
      <c r="I165" s="8" t="s">
        <v>28</v>
      </c>
      <c r="J165" s="58">
        <v>46204.0</v>
      </c>
      <c r="K165" s="58">
        <v>46266.0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8" t="s">
        <v>213</v>
      </c>
      <c r="B166" s="58">
        <v>46205.0</v>
      </c>
      <c r="C166" s="8" t="s">
        <v>31</v>
      </c>
      <c r="D166" s="12" t="s">
        <v>213</v>
      </c>
      <c r="E166" s="12" t="s">
        <v>19</v>
      </c>
      <c r="F166" s="58">
        <v>46205.0</v>
      </c>
      <c r="G166" s="8">
        <v>300.0</v>
      </c>
      <c r="H166" s="8"/>
      <c r="I166" s="8" t="s">
        <v>28</v>
      </c>
      <c r="J166" s="58">
        <v>46204.0</v>
      </c>
      <c r="K166" s="58">
        <v>46266.0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8" t="s">
        <v>215</v>
      </c>
      <c r="B167" s="72">
        <v>46231.0</v>
      </c>
      <c r="C167" s="8" t="s">
        <v>31</v>
      </c>
      <c r="D167" s="12" t="s">
        <v>215</v>
      </c>
      <c r="E167" s="12" t="s">
        <v>19</v>
      </c>
      <c r="F167" s="72">
        <v>46231.0</v>
      </c>
      <c r="G167" s="8">
        <v>109.67</v>
      </c>
      <c r="H167" s="8"/>
      <c r="I167" s="8" t="s">
        <v>69</v>
      </c>
      <c r="J167" s="72">
        <v>46249.0</v>
      </c>
      <c r="K167" s="72">
        <v>46264.0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8" t="s">
        <v>216</v>
      </c>
      <c r="B168" s="58">
        <v>46206.0</v>
      </c>
      <c r="C168" s="8" t="s">
        <v>31</v>
      </c>
      <c r="D168" s="12" t="s">
        <v>216</v>
      </c>
      <c r="E168" s="12" t="s">
        <v>19</v>
      </c>
      <c r="F168" s="58">
        <v>46206.0</v>
      </c>
      <c r="G168" s="8">
        <v>600.0</v>
      </c>
      <c r="H168" s="8"/>
      <c r="I168" s="8" t="s">
        <v>145</v>
      </c>
      <c r="J168" s="58">
        <v>46204.0</v>
      </c>
      <c r="K168" s="58">
        <v>46235.0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8" t="s">
        <v>217</v>
      </c>
      <c r="B169" s="58">
        <v>46206.0</v>
      </c>
      <c r="C169" s="8" t="s">
        <v>31</v>
      </c>
      <c r="D169" s="12" t="s">
        <v>217</v>
      </c>
      <c r="E169" s="12" t="s">
        <v>19</v>
      </c>
      <c r="F169" s="32">
        <v>46206.0</v>
      </c>
      <c r="G169" s="8">
        <v>731.08</v>
      </c>
      <c r="H169" s="8"/>
      <c r="I169" s="8" t="s">
        <v>65</v>
      </c>
      <c r="J169" s="58">
        <v>46143.0</v>
      </c>
      <c r="K169" s="58">
        <v>46204.0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8" t="s">
        <v>218</v>
      </c>
      <c r="B170" s="72">
        <v>46232.0</v>
      </c>
      <c r="C170" s="8" t="s">
        <v>31</v>
      </c>
      <c r="D170" s="12" t="s">
        <v>218</v>
      </c>
      <c r="E170" s="12" t="s">
        <v>19</v>
      </c>
      <c r="F170" s="72">
        <v>46232.0</v>
      </c>
      <c r="G170" s="73">
        <v>110.05</v>
      </c>
      <c r="H170" s="8"/>
      <c r="I170" s="8" t="s">
        <v>69</v>
      </c>
      <c r="J170" s="72">
        <v>46249.0</v>
      </c>
      <c r="K170" s="72">
        <v>46254.0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71" t="s">
        <v>219</v>
      </c>
      <c r="B171" s="72">
        <v>46223.0</v>
      </c>
      <c r="C171" s="8" t="s">
        <v>31</v>
      </c>
      <c r="D171" s="64" t="s">
        <v>219</v>
      </c>
      <c r="E171" s="12" t="s">
        <v>19</v>
      </c>
      <c r="F171" s="72">
        <v>46223.0</v>
      </c>
      <c r="G171" s="8">
        <v>131.2</v>
      </c>
      <c r="H171" s="8"/>
      <c r="I171" s="8" t="s">
        <v>69</v>
      </c>
      <c r="J171" s="72">
        <v>46204.0</v>
      </c>
      <c r="K171" s="72">
        <v>46235.0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1" t="s">
        <v>220</v>
      </c>
      <c r="B172" s="72">
        <v>46226.0</v>
      </c>
      <c r="C172" s="8" t="s">
        <v>31</v>
      </c>
      <c r="D172" s="64" t="s">
        <v>220</v>
      </c>
      <c r="E172" s="12" t="s">
        <v>56</v>
      </c>
      <c r="F172" s="72">
        <v>46226.0</v>
      </c>
      <c r="G172" s="8">
        <v>175.36</v>
      </c>
      <c r="H172" s="8"/>
      <c r="I172" s="8" t="s">
        <v>69</v>
      </c>
      <c r="J172" s="72">
        <v>46226.0</v>
      </c>
      <c r="K172" s="72">
        <v>46227.0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4" t="s">
        <v>221</v>
      </c>
      <c r="B173" s="75">
        <v>46204.0</v>
      </c>
      <c r="C173" s="8" t="s">
        <v>31</v>
      </c>
      <c r="D173" s="12" t="s">
        <v>221</v>
      </c>
      <c r="E173" s="12" t="s">
        <v>59</v>
      </c>
      <c r="F173" s="75">
        <v>46204.0</v>
      </c>
      <c r="G173" s="48">
        <v>307.07</v>
      </c>
      <c r="H173" s="48" t="s">
        <v>222</v>
      </c>
      <c r="I173" s="8" t="s">
        <v>69</v>
      </c>
      <c r="J173" s="58">
        <v>46182.0</v>
      </c>
      <c r="K173" s="58">
        <v>46242.0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8" t="s">
        <v>223</v>
      </c>
      <c r="B174" s="58">
        <v>46212.0</v>
      </c>
      <c r="C174" s="8" t="s">
        <v>31</v>
      </c>
      <c r="D174" s="12" t="s">
        <v>223</v>
      </c>
      <c r="E174" s="12" t="s">
        <v>19</v>
      </c>
      <c r="F174" s="58">
        <v>46212.0</v>
      </c>
      <c r="G174" s="8">
        <v>262.88</v>
      </c>
      <c r="H174" s="8" t="s">
        <v>114</v>
      </c>
      <c r="I174" s="8" t="s">
        <v>69</v>
      </c>
      <c r="J174" s="58">
        <v>46204.0</v>
      </c>
      <c r="K174" s="58">
        <v>46233.0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1" t="s">
        <v>224</v>
      </c>
      <c r="B175" s="72">
        <v>46223.0</v>
      </c>
      <c r="C175" s="8" t="s">
        <v>31</v>
      </c>
      <c r="D175" s="12" t="s">
        <v>224</v>
      </c>
      <c r="E175" s="12" t="s">
        <v>59</v>
      </c>
      <c r="F175" s="72">
        <v>46223.0</v>
      </c>
      <c r="G175" s="8">
        <v>306.13</v>
      </c>
      <c r="H175" s="58"/>
      <c r="I175" s="8" t="s">
        <v>69</v>
      </c>
      <c r="J175" s="58">
        <v>46211.0</v>
      </c>
      <c r="K175" s="72">
        <v>46233.0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8" t="s">
        <v>224</v>
      </c>
      <c r="B176" s="58">
        <v>46213.0</v>
      </c>
      <c r="C176" s="8" t="s">
        <v>31</v>
      </c>
      <c r="D176" s="12" t="s">
        <v>224</v>
      </c>
      <c r="E176" s="12" t="s">
        <v>59</v>
      </c>
      <c r="F176" s="58">
        <v>46213.0</v>
      </c>
      <c r="G176" s="8">
        <v>306.29</v>
      </c>
      <c r="H176" s="8"/>
      <c r="I176" s="8" t="s">
        <v>69</v>
      </c>
      <c r="J176" s="58">
        <v>46211.0</v>
      </c>
      <c r="K176" s="58">
        <v>46240.0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8" t="s">
        <v>225</v>
      </c>
      <c r="B177" s="58">
        <v>46218.0</v>
      </c>
      <c r="C177" s="8" t="s">
        <v>31</v>
      </c>
      <c r="D177" s="8" t="s">
        <v>225</v>
      </c>
      <c r="E177" s="12" t="s">
        <v>59</v>
      </c>
      <c r="F177" s="58">
        <v>46218.0</v>
      </c>
      <c r="G177" s="8">
        <v>307.15</v>
      </c>
      <c r="H177" s="8"/>
      <c r="I177" s="8" t="s">
        <v>69</v>
      </c>
      <c r="J177" s="58">
        <v>46218.0</v>
      </c>
      <c r="K177" s="58">
        <v>46230.0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8" t="s">
        <v>226</v>
      </c>
      <c r="B178" s="58">
        <v>46212.0</v>
      </c>
      <c r="C178" s="8" t="s">
        <v>31</v>
      </c>
      <c r="D178" s="12" t="s">
        <v>226</v>
      </c>
      <c r="E178" s="12" t="s">
        <v>59</v>
      </c>
      <c r="F178" s="58">
        <v>46212.0</v>
      </c>
      <c r="G178" s="8">
        <v>328.61</v>
      </c>
      <c r="H178" s="8"/>
      <c r="I178" s="8" t="s">
        <v>69</v>
      </c>
      <c r="J178" s="58">
        <v>46211.0</v>
      </c>
      <c r="K178" s="58">
        <v>46233.0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8" t="s">
        <v>227</v>
      </c>
      <c r="B179" s="58">
        <v>46206.0</v>
      </c>
      <c r="C179" s="8" t="s">
        <v>31</v>
      </c>
      <c r="D179" s="12" t="s">
        <v>227</v>
      </c>
      <c r="E179" s="12" t="s">
        <v>59</v>
      </c>
      <c r="F179" s="58">
        <v>46206.0</v>
      </c>
      <c r="G179" s="8">
        <v>328.72</v>
      </c>
      <c r="H179" s="8"/>
      <c r="I179" s="8" t="s">
        <v>69</v>
      </c>
      <c r="J179" s="58">
        <v>46205.0</v>
      </c>
      <c r="K179" s="58">
        <v>46216.0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8" t="s">
        <v>228</v>
      </c>
      <c r="B180" s="58">
        <v>46217.0</v>
      </c>
      <c r="C180" s="8" t="s">
        <v>31</v>
      </c>
      <c r="D180" s="8" t="s">
        <v>228</v>
      </c>
      <c r="E180" s="12" t="s">
        <v>19</v>
      </c>
      <c r="F180" s="58">
        <v>46217.0</v>
      </c>
      <c r="G180" s="8">
        <v>349.96</v>
      </c>
      <c r="H180" s="8"/>
      <c r="I180" s="8" t="s">
        <v>69</v>
      </c>
      <c r="J180" s="58">
        <v>46218.0</v>
      </c>
      <c r="K180" s="58">
        <v>46223.0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8" t="s">
        <v>229</v>
      </c>
      <c r="B181" s="58">
        <v>46212.0</v>
      </c>
      <c r="C181" s="8" t="s">
        <v>31</v>
      </c>
      <c r="D181" s="12" t="s">
        <v>229</v>
      </c>
      <c r="E181" s="12" t="s">
        <v>56</v>
      </c>
      <c r="F181" s="58">
        <v>46212.0</v>
      </c>
      <c r="G181" s="8">
        <v>350.51</v>
      </c>
      <c r="H181" s="42" t="s">
        <v>222</v>
      </c>
      <c r="I181" s="8" t="s">
        <v>69</v>
      </c>
      <c r="J181" s="58">
        <v>46207.0</v>
      </c>
      <c r="K181" s="58">
        <v>46226.0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8" t="s">
        <v>230</v>
      </c>
      <c r="B182" s="58">
        <v>46218.0</v>
      </c>
      <c r="C182" s="8" t="s">
        <v>31</v>
      </c>
      <c r="D182" s="8" t="s">
        <v>230</v>
      </c>
      <c r="E182" s="12" t="s">
        <v>19</v>
      </c>
      <c r="F182" s="58">
        <v>46218.0</v>
      </c>
      <c r="G182" s="48">
        <v>1800.0</v>
      </c>
      <c r="H182" s="8"/>
      <c r="I182" s="8" t="s">
        <v>69</v>
      </c>
      <c r="J182" s="58">
        <v>46218.0</v>
      </c>
      <c r="K182" s="58">
        <v>46226.0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8" t="s">
        <v>231</v>
      </c>
      <c r="B183" s="72">
        <v>46234.0</v>
      </c>
      <c r="C183" s="8" t="s">
        <v>31</v>
      </c>
      <c r="D183" s="12" t="s">
        <v>231</v>
      </c>
      <c r="E183" s="12" t="s">
        <v>59</v>
      </c>
      <c r="F183" s="72">
        <v>46234.0</v>
      </c>
      <c r="G183" s="8">
        <v>435.46</v>
      </c>
      <c r="H183" s="8"/>
      <c r="I183" s="8" t="s">
        <v>69</v>
      </c>
      <c r="J183" s="76">
        <v>46235.0</v>
      </c>
      <c r="K183" s="76">
        <v>46249.0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2" t="s">
        <v>232</v>
      </c>
      <c r="B184" s="63">
        <v>46220.0</v>
      </c>
      <c r="C184" s="42" t="s">
        <v>31</v>
      </c>
      <c r="D184" s="42" t="s">
        <v>232</v>
      </c>
      <c r="E184" s="64" t="s">
        <v>56</v>
      </c>
      <c r="F184" s="63">
        <v>46220.0</v>
      </c>
      <c r="G184" s="42">
        <v>436.11</v>
      </c>
      <c r="H184" s="42" t="s">
        <v>222</v>
      </c>
      <c r="I184" s="42" t="s">
        <v>69</v>
      </c>
      <c r="J184" s="63">
        <v>46213.0</v>
      </c>
      <c r="K184" s="63">
        <v>46226.0</v>
      </c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8" t="s">
        <v>238</v>
      </c>
      <c r="B185" s="58">
        <v>46211.0</v>
      </c>
      <c r="C185" s="8" t="s">
        <v>31</v>
      </c>
      <c r="D185" s="12" t="s">
        <v>238</v>
      </c>
      <c r="E185" s="12" t="s">
        <v>19</v>
      </c>
      <c r="F185" s="58">
        <v>46211.0</v>
      </c>
      <c r="G185" s="8">
        <v>250.0</v>
      </c>
      <c r="H185" s="8" t="s">
        <v>25</v>
      </c>
      <c r="I185" s="8" t="s">
        <v>28</v>
      </c>
      <c r="J185" s="58">
        <v>46235.0</v>
      </c>
      <c r="K185" s="58">
        <v>46265.0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8" t="s">
        <v>238</v>
      </c>
      <c r="B186" s="58">
        <v>46211.0</v>
      </c>
      <c r="C186" s="8" t="s">
        <v>31</v>
      </c>
      <c r="D186" s="12" t="s">
        <v>238</v>
      </c>
      <c r="E186" s="12" t="s">
        <v>19</v>
      </c>
      <c r="F186" s="58">
        <v>46211.0</v>
      </c>
      <c r="G186" s="8">
        <v>250.0</v>
      </c>
      <c r="H186" s="8" t="s">
        <v>25</v>
      </c>
      <c r="I186" s="8" t="s">
        <v>28</v>
      </c>
      <c r="J186" s="58">
        <v>46235.0</v>
      </c>
      <c r="K186" s="58">
        <v>46265.0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8" t="s">
        <v>252</v>
      </c>
      <c r="B187" s="58">
        <v>46213.0</v>
      </c>
      <c r="C187" s="8" t="s">
        <v>31</v>
      </c>
      <c r="D187" s="12" t="s">
        <v>252</v>
      </c>
      <c r="E187" s="12" t="s">
        <v>56</v>
      </c>
      <c r="F187" s="58">
        <v>46213.0</v>
      </c>
      <c r="G187" s="8">
        <v>437.56</v>
      </c>
      <c r="H187" s="8"/>
      <c r="I187" s="8" t="s">
        <v>69</v>
      </c>
      <c r="J187" s="58">
        <v>46216.0</v>
      </c>
      <c r="K187" s="58">
        <v>46234.0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8" t="s">
        <v>253</v>
      </c>
      <c r="B188" s="58">
        <v>46212.0</v>
      </c>
      <c r="C188" s="8" t="s">
        <v>84</v>
      </c>
      <c r="D188" s="12" t="s">
        <v>253</v>
      </c>
      <c r="E188" s="12" t="s">
        <v>19</v>
      </c>
      <c r="F188" s="58">
        <v>46212.0</v>
      </c>
      <c r="G188" s="8">
        <v>800.0</v>
      </c>
      <c r="H188" s="8" t="s">
        <v>114</v>
      </c>
      <c r="I188" s="8" t="s">
        <v>145</v>
      </c>
      <c r="J188" s="58">
        <v>46174.0</v>
      </c>
      <c r="K188" s="58">
        <v>46204.0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1" t="s">
        <v>224</v>
      </c>
      <c r="B189" s="72">
        <v>46225.0</v>
      </c>
      <c r="C189" s="8" t="s">
        <v>31</v>
      </c>
      <c r="D189" s="12" t="s">
        <v>224</v>
      </c>
      <c r="E189" s="12" t="s">
        <v>59</v>
      </c>
      <c r="F189" s="72">
        <v>46225.0</v>
      </c>
      <c r="G189" s="8">
        <v>437.71</v>
      </c>
      <c r="H189" s="8"/>
      <c r="I189" s="8" t="s">
        <v>69</v>
      </c>
      <c r="J189" s="58">
        <v>46211.0</v>
      </c>
      <c r="K189" s="72">
        <v>46233.0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1" t="s">
        <v>219</v>
      </c>
      <c r="B190" s="72">
        <v>46225.0</v>
      </c>
      <c r="C190" s="8" t="s">
        <v>31</v>
      </c>
      <c r="D190" s="12" t="s">
        <v>219</v>
      </c>
      <c r="E190" s="12" t="s">
        <v>19</v>
      </c>
      <c r="F190" s="72">
        <v>46225.0</v>
      </c>
      <c r="G190" s="8">
        <v>437.71</v>
      </c>
      <c r="H190" s="8"/>
      <c r="I190" s="8" t="s">
        <v>69</v>
      </c>
      <c r="J190" s="72">
        <v>46235.0</v>
      </c>
      <c r="K190" s="72">
        <v>46265.0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8" t="s">
        <v>254</v>
      </c>
      <c r="B191" s="58">
        <v>46204.0</v>
      </c>
      <c r="C191" s="8" t="s">
        <v>31</v>
      </c>
      <c r="D191" s="12" t="s">
        <v>254</v>
      </c>
      <c r="E191" s="12" t="s">
        <v>56</v>
      </c>
      <c r="F191" s="58">
        <v>46204.0</v>
      </c>
      <c r="G191" s="8">
        <v>460.61</v>
      </c>
      <c r="H191" s="42" t="s">
        <v>222</v>
      </c>
      <c r="I191" s="8" t="s">
        <v>69</v>
      </c>
      <c r="J191" s="58">
        <v>46204.0</v>
      </c>
      <c r="K191" s="58">
        <v>46210.0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8" t="s">
        <v>221</v>
      </c>
      <c r="B192" s="78">
        <v>46211.0</v>
      </c>
      <c r="C192" s="8" t="s">
        <v>31</v>
      </c>
      <c r="D192" s="12" t="s">
        <v>221</v>
      </c>
      <c r="E192" s="12" t="s">
        <v>59</v>
      </c>
      <c r="F192" s="78">
        <v>46211.0</v>
      </c>
      <c r="G192" s="48">
        <v>174.98</v>
      </c>
      <c r="H192" s="48" t="s">
        <v>222</v>
      </c>
      <c r="I192" s="8" t="s">
        <v>69</v>
      </c>
      <c r="J192" s="58">
        <v>46182.0</v>
      </c>
      <c r="K192" s="58">
        <v>46242.0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8" t="s">
        <v>255</v>
      </c>
      <c r="B193" s="58">
        <v>46216.0</v>
      </c>
      <c r="C193" s="8" t="s">
        <v>31</v>
      </c>
      <c r="D193" s="8" t="s">
        <v>255</v>
      </c>
      <c r="E193" s="12" t="s">
        <v>59</v>
      </c>
      <c r="F193" s="58">
        <v>46216.0</v>
      </c>
      <c r="G193" s="8">
        <v>546.72</v>
      </c>
      <c r="H193" s="8"/>
      <c r="I193" s="8" t="s">
        <v>69</v>
      </c>
      <c r="J193" s="58">
        <v>46214.0</v>
      </c>
      <c r="K193" s="58">
        <v>46233.0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8" t="s">
        <v>256</v>
      </c>
      <c r="B194" s="58">
        <v>46212.0</v>
      </c>
      <c r="C194" s="8" t="s">
        <v>31</v>
      </c>
      <c r="D194" s="12" t="s">
        <v>256</v>
      </c>
      <c r="E194" s="12" t="s">
        <v>56</v>
      </c>
      <c r="F194" s="58">
        <v>46212.0</v>
      </c>
      <c r="G194" s="8">
        <v>2190.71</v>
      </c>
      <c r="H194" s="42" t="s">
        <v>222</v>
      </c>
      <c r="I194" s="8" t="s">
        <v>28</v>
      </c>
      <c r="J194" s="58">
        <v>46204.0</v>
      </c>
      <c r="K194" s="58">
        <v>46234.0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8" t="s">
        <v>257</v>
      </c>
      <c r="B195" s="58">
        <v>46220.0</v>
      </c>
      <c r="C195" s="8" t="s">
        <v>31</v>
      </c>
      <c r="D195" s="8" t="s">
        <v>257</v>
      </c>
      <c r="E195" s="12" t="s">
        <v>19</v>
      </c>
      <c r="F195" s="58">
        <v>46220.0</v>
      </c>
      <c r="G195" s="8">
        <v>654.16</v>
      </c>
      <c r="H195" s="8"/>
      <c r="I195" s="8" t="s">
        <v>69</v>
      </c>
      <c r="J195" s="58">
        <v>46218.0</v>
      </c>
      <c r="K195" s="58">
        <v>46223.0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8" t="s">
        <v>258</v>
      </c>
      <c r="B196" s="58">
        <v>46220.0</v>
      </c>
      <c r="C196" s="8" t="s">
        <v>31</v>
      </c>
      <c r="D196" s="8" t="s">
        <v>258</v>
      </c>
      <c r="E196" s="12" t="s">
        <v>56</v>
      </c>
      <c r="F196" s="58">
        <v>46220.0</v>
      </c>
      <c r="G196" s="8">
        <v>654.16</v>
      </c>
      <c r="H196" s="42" t="s">
        <v>222</v>
      </c>
      <c r="I196" s="8" t="s">
        <v>69</v>
      </c>
      <c r="J196" s="58">
        <v>46220.0</v>
      </c>
      <c r="K196" s="58">
        <v>46227.0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8" t="s">
        <v>259</v>
      </c>
      <c r="B197" s="58">
        <v>46206.0</v>
      </c>
      <c r="C197" s="8" t="s">
        <v>31</v>
      </c>
      <c r="D197" s="12" t="s">
        <v>259</v>
      </c>
      <c r="E197" s="12" t="s">
        <v>56</v>
      </c>
      <c r="F197" s="58">
        <v>46206.0</v>
      </c>
      <c r="G197" s="8">
        <v>701.27</v>
      </c>
      <c r="H197" s="42" t="s">
        <v>222</v>
      </c>
      <c r="I197" s="8" t="s">
        <v>69</v>
      </c>
      <c r="J197" s="58">
        <v>46206.0</v>
      </c>
      <c r="K197" s="58">
        <v>46206.0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8" t="s">
        <v>260</v>
      </c>
      <c r="B198" s="58">
        <v>46213.0</v>
      </c>
      <c r="C198" s="8" t="s">
        <v>31</v>
      </c>
      <c r="D198" s="12" t="s">
        <v>260</v>
      </c>
      <c r="E198" s="12" t="s">
        <v>19</v>
      </c>
      <c r="F198" s="58">
        <v>46213.0</v>
      </c>
      <c r="G198" s="8">
        <v>4000.0</v>
      </c>
      <c r="H198" s="8"/>
      <c r="I198" s="8" t="s">
        <v>28</v>
      </c>
      <c r="J198" s="58">
        <v>46235.0</v>
      </c>
      <c r="K198" s="58">
        <v>46296.0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8" t="s">
        <v>261</v>
      </c>
      <c r="B199" s="58">
        <v>46213.0</v>
      </c>
      <c r="C199" s="8" t="s">
        <v>31</v>
      </c>
      <c r="D199" s="12" t="s">
        <v>261</v>
      </c>
      <c r="E199" s="12" t="s">
        <v>56</v>
      </c>
      <c r="F199" s="58">
        <v>46213.0</v>
      </c>
      <c r="G199" s="8">
        <v>711.47</v>
      </c>
      <c r="H199" s="42" t="s">
        <v>222</v>
      </c>
      <c r="I199" s="8" t="s">
        <v>69</v>
      </c>
      <c r="J199" s="58">
        <v>46213.0</v>
      </c>
      <c r="K199" s="58">
        <v>46220.0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8" t="s">
        <v>262</v>
      </c>
      <c r="B200" s="58">
        <v>46213.0</v>
      </c>
      <c r="C200" s="8" t="s">
        <v>31</v>
      </c>
      <c r="D200" s="12" t="s">
        <v>262</v>
      </c>
      <c r="E200" s="12" t="s">
        <v>56</v>
      </c>
      <c r="F200" s="58">
        <v>46213.0</v>
      </c>
      <c r="G200" s="8">
        <v>875.12</v>
      </c>
      <c r="H200" s="42" t="s">
        <v>222</v>
      </c>
      <c r="I200" s="8" t="s">
        <v>69</v>
      </c>
      <c r="J200" s="58">
        <v>46213.0</v>
      </c>
      <c r="K200" s="58">
        <v>46218.0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8" t="s">
        <v>263</v>
      </c>
      <c r="B201" s="58">
        <v>46206.0</v>
      </c>
      <c r="C201" s="8" t="s">
        <v>31</v>
      </c>
      <c r="D201" s="12" t="s">
        <v>263</v>
      </c>
      <c r="E201" s="12" t="s">
        <v>59</v>
      </c>
      <c r="F201" s="58">
        <v>46206.0</v>
      </c>
      <c r="G201" s="8">
        <f>328.72+546.76</f>
        <v>875.48</v>
      </c>
      <c r="H201" s="8"/>
      <c r="I201" s="8" t="s">
        <v>69</v>
      </c>
      <c r="J201" s="58">
        <v>46219.0</v>
      </c>
      <c r="K201" s="58">
        <v>46226.0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8" t="s">
        <v>57</v>
      </c>
      <c r="B202" s="58">
        <v>46213.0</v>
      </c>
      <c r="C202" s="8" t="s">
        <v>31</v>
      </c>
      <c r="D202" s="12" t="s">
        <v>57</v>
      </c>
      <c r="E202" s="12" t="s">
        <v>59</v>
      </c>
      <c r="F202" s="58">
        <v>46213.0</v>
      </c>
      <c r="G202" s="8">
        <v>400.53</v>
      </c>
      <c r="H202" s="8"/>
      <c r="I202" s="8" t="s">
        <v>28</v>
      </c>
      <c r="J202" s="58">
        <v>46204.0</v>
      </c>
      <c r="K202" s="58">
        <v>46296.0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8" t="s">
        <v>57</v>
      </c>
      <c r="B203" s="58">
        <v>46213.0</v>
      </c>
      <c r="C203" s="8" t="s">
        <v>31</v>
      </c>
      <c r="D203" s="12" t="s">
        <v>57</v>
      </c>
      <c r="E203" s="12" t="s">
        <v>59</v>
      </c>
      <c r="F203" s="58">
        <v>46213.0</v>
      </c>
      <c r="G203" s="8">
        <v>400.53</v>
      </c>
      <c r="H203" s="8"/>
      <c r="I203" s="8" t="s">
        <v>28</v>
      </c>
      <c r="J203" s="58">
        <v>46204.0</v>
      </c>
      <c r="K203" s="58">
        <v>46296.0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8" t="s">
        <v>57</v>
      </c>
      <c r="B204" s="58">
        <v>46213.0</v>
      </c>
      <c r="C204" s="8" t="s">
        <v>31</v>
      </c>
      <c r="D204" s="12" t="s">
        <v>57</v>
      </c>
      <c r="E204" s="12" t="s">
        <v>59</v>
      </c>
      <c r="F204" s="58">
        <v>46213.0</v>
      </c>
      <c r="G204" s="8">
        <v>400.53</v>
      </c>
      <c r="H204" s="8"/>
      <c r="I204" s="8" t="s">
        <v>28</v>
      </c>
      <c r="J204" s="58">
        <v>46204.0</v>
      </c>
      <c r="K204" s="58">
        <v>46296.0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8" t="s">
        <v>57</v>
      </c>
      <c r="B205" s="58">
        <v>46213.0</v>
      </c>
      <c r="C205" s="8" t="s">
        <v>31</v>
      </c>
      <c r="D205" s="12" t="s">
        <v>57</v>
      </c>
      <c r="E205" s="12" t="s">
        <v>59</v>
      </c>
      <c r="F205" s="58">
        <v>46213.0</v>
      </c>
      <c r="G205" s="8">
        <v>400.53</v>
      </c>
      <c r="H205" s="8"/>
      <c r="I205" s="8" t="s">
        <v>28</v>
      </c>
      <c r="J205" s="58">
        <v>46204.0</v>
      </c>
      <c r="K205" s="58">
        <v>46296.0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8" t="s">
        <v>57</v>
      </c>
      <c r="B206" s="58">
        <v>46213.0</v>
      </c>
      <c r="C206" s="8" t="s">
        <v>31</v>
      </c>
      <c r="D206" s="12" t="s">
        <v>57</v>
      </c>
      <c r="E206" s="12" t="s">
        <v>59</v>
      </c>
      <c r="F206" s="58">
        <v>46213.0</v>
      </c>
      <c r="G206" s="8">
        <v>400.53</v>
      </c>
      <c r="H206" s="8"/>
      <c r="I206" s="8" t="s">
        <v>28</v>
      </c>
      <c r="J206" s="58">
        <v>46204.0</v>
      </c>
      <c r="K206" s="58">
        <v>46296.0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8" t="s">
        <v>57</v>
      </c>
      <c r="B207" s="58">
        <v>46213.0</v>
      </c>
      <c r="C207" s="8" t="s">
        <v>31</v>
      </c>
      <c r="D207" s="12" t="s">
        <v>57</v>
      </c>
      <c r="E207" s="12" t="s">
        <v>59</v>
      </c>
      <c r="F207" s="58">
        <v>46213.0</v>
      </c>
      <c r="G207" s="8">
        <v>400.53</v>
      </c>
      <c r="H207" s="8"/>
      <c r="I207" s="8" t="s">
        <v>28</v>
      </c>
      <c r="J207" s="58">
        <v>46204.0</v>
      </c>
      <c r="K207" s="58">
        <v>46296.0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8" t="s">
        <v>57</v>
      </c>
      <c r="B208" s="58">
        <v>46213.0</v>
      </c>
      <c r="C208" s="8" t="s">
        <v>31</v>
      </c>
      <c r="D208" s="12" t="s">
        <v>57</v>
      </c>
      <c r="E208" s="12" t="s">
        <v>59</v>
      </c>
      <c r="F208" s="58">
        <v>46213.0</v>
      </c>
      <c r="G208" s="8">
        <v>400.53</v>
      </c>
      <c r="H208" s="8"/>
      <c r="I208" s="8" t="s">
        <v>28</v>
      </c>
      <c r="J208" s="58">
        <v>46204.0</v>
      </c>
      <c r="K208" s="58">
        <v>46296.0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8" t="s">
        <v>57</v>
      </c>
      <c r="B209" s="58">
        <v>46213.0</v>
      </c>
      <c r="C209" s="8" t="s">
        <v>31</v>
      </c>
      <c r="D209" s="12" t="s">
        <v>57</v>
      </c>
      <c r="E209" s="12" t="s">
        <v>59</v>
      </c>
      <c r="F209" s="58">
        <v>46213.0</v>
      </c>
      <c r="G209" s="8">
        <v>400.53</v>
      </c>
      <c r="H209" s="8"/>
      <c r="I209" s="8" t="s">
        <v>28</v>
      </c>
      <c r="J209" s="58">
        <v>46204.0</v>
      </c>
      <c r="K209" s="58">
        <v>46296.0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8" t="s">
        <v>57</v>
      </c>
      <c r="B210" s="58">
        <v>46213.0</v>
      </c>
      <c r="C210" s="8" t="s">
        <v>31</v>
      </c>
      <c r="D210" s="12" t="s">
        <v>57</v>
      </c>
      <c r="E210" s="12" t="s">
        <v>59</v>
      </c>
      <c r="F210" s="58">
        <v>46213.0</v>
      </c>
      <c r="G210" s="8">
        <v>400.53</v>
      </c>
      <c r="H210" s="8"/>
      <c r="I210" s="8" t="s">
        <v>28</v>
      </c>
      <c r="J210" s="58">
        <v>46204.0</v>
      </c>
      <c r="K210" s="58">
        <v>46296.0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8" t="s">
        <v>57</v>
      </c>
      <c r="B211" s="58">
        <v>46213.0</v>
      </c>
      <c r="C211" s="8" t="s">
        <v>31</v>
      </c>
      <c r="D211" s="12" t="s">
        <v>57</v>
      </c>
      <c r="E211" s="12" t="s">
        <v>59</v>
      </c>
      <c r="F211" s="58">
        <v>46213.0</v>
      </c>
      <c r="G211" s="8">
        <v>400.53</v>
      </c>
      <c r="H211" s="8"/>
      <c r="I211" s="8" t="s">
        <v>28</v>
      </c>
      <c r="J211" s="58">
        <v>46204.0</v>
      </c>
      <c r="K211" s="58">
        <v>46296.0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8" t="s">
        <v>57</v>
      </c>
      <c r="B212" s="58">
        <v>46213.0</v>
      </c>
      <c r="C212" s="8" t="s">
        <v>31</v>
      </c>
      <c r="D212" s="12" t="s">
        <v>57</v>
      </c>
      <c r="E212" s="12" t="s">
        <v>59</v>
      </c>
      <c r="F212" s="58">
        <v>46213.0</v>
      </c>
      <c r="G212" s="8">
        <v>400.54</v>
      </c>
      <c r="H212" s="8"/>
      <c r="I212" s="8" t="s">
        <v>28</v>
      </c>
      <c r="J212" s="58">
        <v>46204.0</v>
      </c>
      <c r="K212" s="58">
        <v>46296.0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8" t="s">
        <v>57</v>
      </c>
      <c r="B213" s="58">
        <v>46213.0</v>
      </c>
      <c r="C213" s="8" t="s">
        <v>31</v>
      </c>
      <c r="D213" s="12" t="s">
        <v>57</v>
      </c>
      <c r="E213" s="12" t="s">
        <v>59</v>
      </c>
      <c r="F213" s="58">
        <v>46213.0</v>
      </c>
      <c r="G213" s="8">
        <v>400.54</v>
      </c>
      <c r="H213" s="8"/>
      <c r="I213" s="8" t="s">
        <v>28</v>
      </c>
      <c r="J213" s="58">
        <v>46204.0</v>
      </c>
      <c r="K213" s="58">
        <v>46296.0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8" t="s">
        <v>57</v>
      </c>
      <c r="B214" s="58">
        <v>46213.0</v>
      </c>
      <c r="C214" s="8" t="s">
        <v>31</v>
      </c>
      <c r="D214" s="12" t="s">
        <v>57</v>
      </c>
      <c r="E214" s="12" t="s">
        <v>59</v>
      </c>
      <c r="F214" s="58">
        <v>46213.0</v>
      </c>
      <c r="G214" s="8">
        <v>400.54</v>
      </c>
      <c r="H214" s="8"/>
      <c r="I214" s="8" t="s">
        <v>28</v>
      </c>
      <c r="J214" s="58">
        <v>46204.0</v>
      </c>
      <c r="K214" s="58">
        <v>46296.0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8" t="s">
        <v>270</v>
      </c>
      <c r="B215" s="58">
        <v>46210.0</v>
      </c>
      <c r="C215" s="8" t="s">
        <v>31</v>
      </c>
      <c r="D215" s="12" t="s">
        <v>270</v>
      </c>
      <c r="E215" s="12" t="s">
        <v>68</v>
      </c>
      <c r="F215" s="32">
        <v>46210.0</v>
      </c>
      <c r="G215" s="8">
        <v>875.81</v>
      </c>
      <c r="H215" s="8" t="s">
        <v>114</v>
      </c>
      <c r="I215" s="8" t="s">
        <v>69</v>
      </c>
      <c r="J215" s="58">
        <v>46213.0</v>
      </c>
      <c r="K215" s="58">
        <v>46223.0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2" t="s">
        <v>271</v>
      </c>
      <c r="B216" s="63">
        <v>46209.0</v>
      </c>
      <c r="C216" s="42" t="s">
        <v>31</v>
      </c>
      <c r="D216" s="64" t="s">
        <v>271</v>
      </c>
      <c r="E216" s="64" t="s">
        <v>56</v>
      </c>
      <c r="F216" s="63">
        <v>46209.0</v>
      </c>
      <c r="G216" s="42">
        <v>1092.0</v>
      </c>
      <c r="H216" s="42" t="s">
        <v>222</v>
      </c>
      <c r="I216" s="42" t="s">
        <v>69</v>
      </c>
      <c r="J216" s="63">
        <v>46215.0</v>
      </c>
      <c r="K216" s="63">
        <v>46227.0</v>
      </c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8" t="s">
        <v>272</v>
      </c>
      <c r="B217" s="58">
        <v>46216.0</v>
      </c>
      <c r="C217" s="8" t="s">
        <v>31</v>
      </c>
      <c r="D217" s="8" t="s">
        <v>272</v>
      </c>
      <c r="E217" s="12" t="s">
        <v>56</v>
      </c>
      <c r="F217" s="58">
        <v>46216.0</v>
      </c>
      <c r="G217" s="8">
        <v>1093.43</v>
      </c>
      <c r="H217" s="42" t="s">
        <v>222</v>
      </c>
      <c r="I217" s="8" t="s">
        <v>69</v>
      </c>
      <c r="J217" s="58">
        <v>46217.0</v>
      </c>
      <c r="K217" s="58">
        <v>46222.0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8" t="s">
        <v>273</v>
      </c>
      <c r="B218" s="58">
        <v>46217.0</v>
      </c>
      <c r="C218" s="8" t="s">
        <v>31</v>
      </c>
      <c r="D218" s="8" t="s">
        <v>273</v>
      </c>
      <c r="E218" s="12" t="s">
        <v>59</v>
      </c>
      <c r="F218" s="58">
        <v>46217.0</v>
      </c>
      <c r="G218" s="8">
        <v>1093.63</v>
      </c>
      <c r="H218" s="8"/>
      <c r="I218" s="8" t="s">
        <v>69</v>
      </c>
      <c r="J218" s="58">
        <v>46217.0</v>
      </c>
      <c r="K218" s="58">
        <v>46233.0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42" t="s">
        <v>274</v>
      </c>
      <c r="B219" s="63">
        <v>46212.0</v>
      </c>
      <c r="C219" s="42" t="s">
        <v>31</v>
      </c>
      <c r="D219" s="64" t="s">
        <v>274</v>
      </c>
      <c r="E219" s="64" t="s">
        <v>56</v>
      </c>
      <c r="F219" s="63">
        <v>46212.0</v>
      </c>
      <c r="G219" s="42">
        <v>1095.35</v>
      </c>
      <c r="H219" s="42" t="s">
        <v>222</v>
      </c>
      <c r="I219" s="42" t="s">
        <v>69</v>
      </c>
      <c r="J219" s="63">
        <v>46212.0</v>
      </c>
      <c r="K219" s="63">
        <v>46226.0</v>
      </c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8" t="s">
        <v>275</v>
      </c>
      <c r="B220" s="58">
        <v>46218.0</v>
      </c>
      <c r="C220" s="8" t="s">
        <v>31</v>
      </c>
      <c r="D220" s="8" t="s">
        <v>275</v>
      </c>
      <c r="E220" s="12" t="s">
        <v>56</v>
      </c>
      <c r="F220" s="58">
        <v>46218.0</v>
      </c>
      <c r="G220" s="8">
        <v>1096.97</v>
      </c>
      <c r="H220" s="42" t="s">
        <v>222</v>
      </c>
      <c r="I220" s="8" t="s">
        <v>69</v>
      </c>
      <c r="J220" s="58">
        <v>46219.0</v>
      </c>
      <c r="K220" s="58">
        <v>46222.0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4" t="s">
        <v>276</v>
      </c>
      <c r="B221" s="72">
        <v>46223.0</v>
      </c>
      <c r="C221" s="8" t="s">
        <v>31</v>
      </c>
      <c r="D221" s="12" t="s">
        <v>276</v>
      </c>
      <c r="E221" s="12" t="s">
        <v>56</v>
      </c>
      <c r="F221" s="72">
        <v>46223.0</v>
      </c>
      <c r="G221" s="80">
        <v>4969.82</v>
      </c>
      <c r="H221" s="8"/>
      <c r="I221" s="8" t="s">
        <v>69</v>
      </c>
      <c r="J221" s="58">
        <v>46213.0</v>
      </c>
      <c r="K221" s="58">
        <v>46234.0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8" t="s">
        <v>277</v>
      </c>
      <c r="B222" s="58">
        <v>46211.0</v>
      </c>
      <c r="C222" s="8" t="s">
        <v>31</v>
      </c>
      <c r="D222" s="12" t="s">
        <v>277</v>
      </c>
      <c r="E222" s="12" t="s">
        <v>56</v>
      </c>
      <c r="F222" s="58">
        <v>46211.0</v>
      </c>
      <c r="G222" s="8">
        <v>1312.34</v>
      </c>
      <c r="H222" s="42" t="s">
        <v>222</v>
      </c>
      <c r="I222" s="8" t="s">
        <v>69</v>
      </c>
      <c r="J222" s="58">
        <v>46212.0</v>
      </c>
      <c r="K222" s="58">
        <v>46219.0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8" t="s">
        <v>276</v>
      </c>
      <c r="B223" s="58">
        <v>46212.0</v>
      </c>
      <c r="C223" s="8" t="s">
        <v>31</v>
      </c>
      <c r="D223" s="12" t="s">
        <v>276</v>
      </c>
      <c r="E223" s="12" t="s">
        <v>56</v>
      </c>
      <c r="F223" s="58">
        <v>46212.0</v>
      </c>
      <c r="G223" s="80">
        <v>1314.42</v>
      </c>
      <c r="H223" s="8"/>
      <c r="I223" s="8" t="s">
        <v>69</v>
      </c>
      <c r="J223" s="58">
        <v>46213.0</v>
      </c>
      <c r="K223" s="58">
        <v>46234.0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8" t="s">
        <v>129</v>
      </c>
      <c r="B224" s="58">
        <v>46211.0</v>
      </c>
      <c r="C224" s="8" t="s">
        <v>31</v>
      </c>
      <c r="D224" s="12" t="s">
        <v>129</v>
      </c>
      <c r="E224" s="12" t="s">
        <v>56</v>
      </c>
      <c r="F224" s="58">
        <v>46211.0</v>
      </c>
      <c r="G224" s="8">
        <v>1399.83</v>
      </c>
      <c r="H224" s="42" t="s">
        <v>222</v>
      </c>
      <c r="I224" s="8" t="s">
        <v>69</v>
      </c>
      <c r="J224" s="58">
        <v>46211.0</v>
      </c>
      <c r="K224" s="58">
        <v>46211.0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8" t="s">
        <v>278</v>
      </c>
      <c r="B225" s="58">
        <v>46205.0</v>
      </c>
      <c r="C225" s="8" t="s">
        <v>31</v>
      </c>
      <c r="D225" s="12" t="s">
        <v>278</v>
      </c>
      <c r="E225" s="12" t="s">
        <v>56</v>
      </c>
      <c r="F225" s="58">
        <v>46205.0</v>
      </c>
      <c r="G225" s="8">
        <v>1747.0</v>
      </c>
      <c r="H225" s="42" t="s">
        <v>222</v>
      </c>
      <c r="I225" s="8" t="s">
        <v>69</v>
      </c>
      <c r="J225" s="58">
        <v>46211.0</v>
      </c>
      <c r="K225" s="58">
        <v>46215.0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1" t="s">
        <v>232</v>
      </c>
      <c r="B226" s="72">
        <v>46225.0</v>
      </c>
      <c r="C226" s="8" t="s">
        <v>31</v>
      </c>
      <c r="D226" s="12" t="s">
        <v>232</v>
      </c>
      <c r="E226" s="12" t="s">
        <v>56</v>
      </c>
      <c r="F226" s="72">
        <v>46225.0</v>
      </c>
      <c r="G226" s="80">
        <v>1750.83</v>
      </c>
      <c r="H226" s="58"/>
      <c r="I226" s="8" t="s">
        <v>69</v>
      </c>
      <c r="J226" s="58">
        <v>46213.0</v>
      </c>
      <c r="K226" s="58">
        <v>46226.0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 t="s">
        <v>279</v>
      </c>
      <c r="B227" s="81">
        <v>46143.0</v>
      </c>
      <c r="C227" s="6" t="s">
        <v>31</v>
      </c>
      <c r="D227" s="40" t="s">
        <v>279</v>
      </c>
      <c r="E227" s="40" t="s">
        <v>59</v>
      </c>
      <c r="F227" s="81">
        <v>46143.0</v>
      </c>
      <c r="G227" s="80">
        <v>6800.0</v>
      </c>
      <c r="H227" s="6"/>
      <c r="I227" s="6" t="s">
        <v>28</v>
      </c>
      <c r="J227" s="81">
        <v>46143.0</v>
      </c>
      <c r="K227" s="82">
        <v>46234.0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83" t="s">
        <v>280</v>
      </c>
      <c r="B228" s="84">
        <v>46210.0</v>
      </c>
      <c r="C228" s="67" t="s">
        <v>31</v>
      </c>
      <c r="D228" s="85" t="s">
        <v>280</v>
      </c>
      <c r="E228" s="64" t="s">
        <v>56</v>
      </c>
      <c r="F228" s="84">
        <v>46210.0</v>
      </c>
      <c r="G228" s="67">
        <v>1751.62</v>
      </c>
      <c r="H228" s="67" t="s">
        <v>222</v>
      </c>
      <c r="I228" s="67" t="s">
        <v>69</v>
      </c>
      <c r="J228" s="84">
        <v>46211.0</v>
      </c>
      <c r="K228" s="84">
        <v>46226.0</v>
      </c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86" t="s">
        <v>281</v>
      </c>
      <c r="B229" s="87">
        <v>46206.0</v>
      </c>
      <c r="C229" s="6" t="s">
        <v>31</v>
      </c>
      <c r="D229" s="40" t="s">
        <v>281</v>
      </c>
      <c r="E229" s="40" t="s">
        <v>68</v>
      </c>
      <c r="F229" s="32">
        <v>46206.0</v>
      </c>
      <c r="G229" s="6">
        <v>1900.0</v>
      </c>
      <c r="H229" s="6" t="s">
        <v>222</v>
      </c>
      <c r="I229" s="6" t="s">
        <v>69</v>
      </c>
      <c r="J229" s="58">
        <v>46208.0</v>
      </c>
      <c r="K229" s="87">
        <v>46223.0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88" t="s">
        <v>232</v>
      </c>
      <c r="B230" s="82">
        <v>46223.0</v>
      </c>
      <c r="C230" s="6" t="s">
        <v>31</v>
      </c>
      <c r="D230" s="40" t="s">
        <v>232</v>
      </c>
      <c r="E230" s="12" t="s">
        <v>56</v>
      </c>
      <c r="F230" s="82">
        <v>46223.0</v>
      </c>
      <c r="G230" s="68">
        <v>2186.63</v>
      </c>
      <c r="H230" s="6"/>
      <c r="I230" s="6" t="s">
        <v>69</v>
      </c>
      <c r="J230" s="58">
        <v>46213.0</v>
      </c>
      <c r="K230" s="58">
        <v>46226.0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86" t="s">
        <v>282</v>
      </c>
      <c r="B231" s="82">
        <v>46234.0</v>
      </c>
      <c r="C231" s="6" t="s">
        <v>31</v>
      </c>
      <c r="D231" s="40" t="s">
        <v>282</v>
      </c>
      <c r="E231" s="40" t="s">
        <v>59</v>
      </c>
      <c r="F231" s="82">
        <v>46234.0</v>
      </c>
      <c r="G231" s="68">
        <v>2500.0</v>
      </c>
      <c r="H231" s="6" t="s">
        <v>152</v>
      </c>
      <c r="I231" s="6" t="s">
        <v>69</v>
      </c>
      <c r="J231" s="81">
        <v>46235.0</v>
      </c>
      <c r="K231" s="81">
        <v>46249.0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86" t="s">
        <v>283</v>
      </c>
      <c r="B232" s="87">
        <v>46211.0</v>
      </c>
      <c r="C232" s="6" t="s">
        <v>31</v>
      </c>
      <c r="D232" s="40" t="s">
        <v>283</v>
      </c>
      <c r="E232" s="40" t="s">
        <v>68</v>
      </c>
      <c r="F232" s="32">
        <v>46211.0</v>
      </c>
      <c r="G232" s="6">
        <v>2800.0</v>
      </c>
      <c r="H232" s="6" t="s">
        <v>114</v>
      </c>
      <c r="I232" s="6" t="s">
        <v>69</v>
      </c>
      <c r="J232" s="61" t="s">
        <v>284</v>
      </c>
      <c r="K232" s="89" t="s">
        <v>285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86" t="s">
        <v>286</v>
      </c>
      <c r="B233" s="87">
        <v>46211.0</v>
      </c>
      <c r="C233" s="6" t="s">
        <v>31</v>
      </c>
      <c r="D233" s="40" t="s">
        <v>286</v>
      </c>
      <c r="E233" s="40" t="s">
        <v>68</v>
      </c>
      <c r="F233" s="32">
        <v>46211.0</v>
      </c>
      <c r="G233" s="6">
        <v>3750.0</v>
      </c>
      <c r="H233" s="6" t="s">
        <v>114</v>
      </c>
      <c r="I233" s="6" t="s">
        <v>69</v>
      </c>
      <c r="J233" s="87">
        <v>46213.0</v>
      </c>
      <c r="K233" s="82">
        <v>46230.0</v>
      </c>
      <c r="L233" s="6" t="s">
        <v>95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86" t="s">
        <v>287</v>
      </c>
      <c r="B234" s="87">
        <v>46212.0</v>
      </c>
      <c r="C234" s="6" t="s">
        <v>31</v>
      </c>
      <c r="D234" s="40" t="s">
        <v>287</v>
      </c>
      <c r="E234" s="40" t="s">
        <v>68</v>
      </c>
      <c r="F234" s="32">
        <v>46212.0</v>
      </c>
      <c r="G234" s="6">
        <v>3800.0</v>
      </c>
      <c r="H234" s="6" t="s">
        <v>25</v>
      </c>
      <c r="I234" s="6" t="s">
        <v>69</v>
      </c>
      <c r="J234" s="87">
        <v>46235.0</v>
      </c>
      <c r="K234" s="87">
        <v>46249.0</v>
      </c>
      <c r="L234" s="6" t="s">
        <v>288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86" t="s">
        <v>289</v>
      </c>
      <c r="B235" s="87">
        <v>46211.0</v>
      </c>
      <c r="C235" s="6" t="s">
        <v>31</v>
      </c>
      <c r="D235" s="40" t="s">
        <v>289</v>
      </c>
      <c r="E235" s="40" t="s">
        <v>68</v>
      </c>
      <c r="F235" s="32">
        <v>46211.0</v>
      </c>
      <c r="G235" s="6">
        <v>4000.0</v>
      </c>
      <c r="H235" s="6" t="s">
        <v>114</v>
      </c>
      <c r="I235" s="6" t="s">
        <v>69</v>
      </c>
      <c r="J235" s="87">
        <v>46213.0</v>
      </c>
      <c r="K235" s="87">
        <v>46234.0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86" t="s">
        <v>290</v>
      </c>
      <c r="B236" s="87">
        <v>46212.0</v>
      </c>
      <c r="C236" s="6" t="s">
        <v>31</v>
      </c>
      <c r="D236" s="90" t="s">
        <v>291</v>
      </c>
      <c r="E236" s="40" t="s">
        <v>68</v>
      </c>
      <c r="F236" s="32">
        <v>46212.0</v>
      </c>
      <c r="G236" s="91">
        <v>6000.0</v>
      </c>
      <c r="H236" s="6" t="s">
        <v>114</v>
      </c>
      <c r="I236" s="6" t="s">
        <v>69</v>
      </c>
      <c r="J236" s="87">
        <v>46214.0</v>
      </c>
      <c r="K236" s="87">
        <v>46235.0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86" t="s">
        <v>292</v>
      </c>
      <c r="B237" s="87">
        <v>46212.0</v>
      </c>
      <c r="C237" s="6" t="s">
        <v>31</v>
      </c>
      <c r="D237" s="40" t="s">
        <v>292</v>
      </c>
      <c r="E237" s="40" t="s">
        <v>68</v>
      </c>
      <c r="F237" s="32">
        <v>46212.0</v>
      </c>
      <c r="G237" s="6">
        <v>5350.0</v>
      </c>
      <c r="H237" s="6" t="s">
        <v>25</v>
      </c>
      <c r="I237" s="6" t="s">
        <v>69</v>
      </c>
      <c r="J237" s="58">
        <v>46235.0</v>
      </c>
      <c r="K237" s="58">
        <v>46249.0</v>
      </c>
      <c r="L237" s="6" t="s">
        <v>293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86" t="s">
        <v>290</v>
      </c>
      <c r="B238" s="87">
        <v>46211.0</v>
      </c>
      <c r="C238" s="6" t="s">
        <v>31</v>
      </c>
      <c r="D238" s="40" t="s">
        <v>290</v>
      </c>
      <c r="E238" s="40" t="s">
        <v>68</v>
      </c>
      <c r="F238" s="32">
        <v>46211.0</v>
      </c>
      <c r="G238" s="6">
        <v>5500.0</v>
      </c>
      <c r="H238" s="6" t="s">
        <v>114</v>
      </c>
      <c r="I238" s="6" t="s">
        <v>69</v>
      </c>
      <c r="J238" s="82">
        <v>46223.0</v>
      </c>
      <c r="K238" s="82">
        <v>46231.0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88" t="s">
        <v>158</v>
      </c>
      <c r="B239" s="82">
        <v>46234.0</v>
      </c>
      <c r="C239" s="6" t="s">
        <v>31</v>
      </c>
      <c r="D239" s="40" t="s">
        <v>158</v>
      </c>
      <c r="E239" s="40" t="s">
        <v>68</v>
      </c>
      <c r="F239" s="32">
        <v>46234.0</v>
      </c>
      <c r="G239" s="68">
        <v>1150.0</v>
      </c>
      <c r="H239" s="6"/>
      <c r="I239" s="6" t="s">
        <v>28</v>
      </c>
      <c r="J239" s="82">
        <v>46228.0</v>
      </c>
      <c r="K239" s="82">
        <v>46280.0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88" t="s">
        <v>158</v>
      </c>
      <c r="B240" s="82">
        <v>46234.0</v>
      </c>
      <c r="C240" s="6" t="s">
        <v>31</v>
      </c>
      <c r="D240" s="40" t="s">
        <v>158</v>
      </c>
      <c r="E240" s="40" t="s">
        <v>68</v>
      </c>
      <c r="F240" s="32">
        <v>46234.0</v>
      </c>
      <c r="G240" s="68">
        <v>1150.0</v>
      </c>
      <c r="H240" s="6"/>
      <c r="I240" s="6" t="s">
        <v>28</v>
      </c>
      <c r="J240" s="82">
        <v>46228.0</v>
      </c>
      <c r="K240" s="82">
        <v>46280.0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88" t="s">
        <v>211</v>
      </c>
      <c r="B241" s="82">
        <v>46234.0</v>
      </c>
      <c r="C241" s="6" t="s">
        <v>31</v>
      </c>
      <c r="D241" s="40" t="s">
        <v>211</v>
      </c>
      <c r="E241" s="40" t="s">
        <v>68</v>
      </c>
      <c r="F241" s="32">
        <v>46234.0</v>
      </c>
      <c r="G241" s="68">
        <v>3000.0</v>
      </c>
      <c r="H241" s="87"/>
      <c r="I241" s="6" t="s">
        <v>28</v>
      </c>
      <c r="J241" s="82">
        <v>46218.0</v>
      </c>
      <c r="K241" s="82">
        <v>46280.0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 t="s">
        <v>294</v>
      </c>
      <c r="B242" s="87">
        <v>46211.0</v>
      </c>
      <c r="C242" s="6" t="s">
        <v>31</v>
      </c>
      <c r="D242" s="40" t="s">
        <v>294</v>
      </c>
      <c r="E242" s="40" t="s">
        <v>68</v>
      </c>
      <c r="F242" s="32">
        <v>46211.0</v>
      </c>
      <c r="G242" s="6">
        <v>5700.0</v>
      </c>
      <c r="H242" s="6" t="s">
        <v>114</v>
      </c>
      <c r="I242" s="6" t="s">
        <v>69</v>
      </c>
      <c r="J242" s="87">
        <v>46213.0</v>
      </c>
      <c r="K242" s="87">
        <v>46219.0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 t="s">
        <v>295</v>
      </c>
      <c r="B243" s="87">
        <v>46216.0</v>
      </c>
      <c r="C243" s="6" t="s">
        <v>31</v>
      </c>
      <c r="D243" s="6" t="s">
        <v>295</v>
      </c>
      <c r="E243" s="40" t="s">
        <v>68</v>
      </c>
      <c r="F243" s="32">
        <v>46216.0</v>
      </c>
      <c r="G243" s="6">
        <v>8000.0</v>
      </c>
      <c r="H243" s="6" t="s">
        <v>25</v>
      </c>
      <c r="I243" s="6" t="s">
        <v>69</v>
      </c>
      <c r="J243" s="87">
        <v>46235.0</v>
      </c>
      <c r="K243" s="87">
        <v>46256.0</v>
      </c>
      <c r="L243" s="6" t="s">
        <v>296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 t="s">
        <v>297</v>
      </c>
      <c r="B244" s="87">
        <v>46206.0</v>
      </c>
      <c r="C244" s="6" t="s">
        <v>31</v>
      </c>
      <c r="D244" s="40" t="s">
        <v>297</v>
      </c>
      <c r="E244" s="40" t="s">
        <v>68</v>
      </c>
      <c r="F244" s="32">
        <v>46206.0</v>
      </c>
      <c r="G244" s="6">
        <v>8600.0</v>
      </c>
      <c r="H244" s="6" t="s">
        <v>114</v>
      </c>
      <c r="I244" s="6" t="s">
        <v>69</v>
      </c>
      <c r="J244" s="87">
        <v>46211.0</v>
      </c>
      <c r="K244" s="87">
        <v>46219.0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 t="s">
        <v>298</v>
      </c>
      <c r="B245" s="87">
        <v>46206.0</v>
      </c>
      <c r="C245" s="6" t="s">
        <v>31</v>
      </c>
      <c r="D245" s="40" t="s">
        <v>298</v>
      </c>
      <c r="E245" s="40" t="s">
        <v>68</v>
      </c>
      <c r="F245" s="32">
        <v>46206.0</v>
      </c>
      <c r="G245" s="91">
        <v>650.0</v>
      </c>
      <c r="H245" s="6"/>
      <c r="I245" s="6" t="s">
        <v>69</v>
      </c>
      <c r="J245" s="87"/>
      <c r="K245" s="87"/>
      <c r="L245" s="92" t="s">
        <v>299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88" t="s">
        <v>276</v>
      </c>
      <c r="B246" s="93">
        <v>46235.0</v>
      </c>
      <c r="C246" s="89" t="s">
        <v>31</v>
      </c>
      <c r="D246" s="88" t="s">
        <v>276</v>
      </c>
      <c r="E246" s="89" t="s">
        <v>56</v>
      </c>
      <c r="F246" s="93">
        <v>46235.0</v>
      </c>
      <c r="G246" s="89">
        <v>-1741.83</v>
      </c>
      <c r="H246" s="89"/>
      <c r="I246" s="89" t="s">
        <v>69</v>
      </c>
      <c r="J246" s="93">
        <v>46235.0</v>
      </c>
      <c r="K246" s="89" t="s">
        <v>45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89" t="s">
        <v>300</v>
      </c>
      <c r="B247" s="93">
        <v>46237.0</v>
      </c>
      <c r="C247" s="89" t="s">
        <v>31</v>
      </c>
      <c r="D247" s="89" t="s">
        <v>300</v>
      </c>
      <c r="E247" s="89" t="s">
        <v>56</v>
      </c>
      <c r="F247" s="93">
        <v>46237.0</v>
      </c>
      <c r="G247" s="89">
        <v>346.71</v>
      </c>
      <c r="H247" s="89"/>
      <c r="I247" s="89" t="s">
        <v>69</v>
      </c>
      <c r="J247" s="94">
        <v>46238.0</v>
      </c>
      <c r="K247" s="94" t="s">
        <v>45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89" t="s">
        <v>301</v>
      </c>
      <c r="B248" s="93">
        <v>46237.0</v>
      </c>
      <c r="C248" s="89" t="s">
        <v>31</v>
      </c>
      <c r="D248" s="89" t="s">
        <v>301</v>
      </c>
      <c r="E248" s="89" t="s">
        <v>56</v>
      </c>
      <c r="F248" s="93">
        <v>46237.0</v>
      </c>
      <c r="G248" s="89">
        <v>869.0</v>
      </c>
      <c r="H248" s="89"/>
      <c r="I248" s="89" t="s">
        <v>69</v>
      </c>
      <c r="J248" s="94">
        <v>46238.0</v>
      </c>
      <c r="K248" s="94" t="s">
        <v>45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 t="s">
        <v>278</v>
      </c>
      <c r="B249" s="95">
        <v>46238.0</v>
      </c>
      <c r="C249" s="96" t="s">
        <v>31</v>
      </c>
      <c r="D249" s="6" t="s">
        <v>278</v>
      </c>
      <c r="E249" s="40" t="s">
        <v>56</v>
      </c>
      <c r="F249" s="95">
        <v>46238.0</v>
      </c>
      <c r="G249" s="97">
        <v>2400.0</v>
      </c>
      <c r="H249" s="6"/>
      <c r="I249" s="98" t="s">
        <v>69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 t="s">
        <v>302</v>
      </c>
      <c r="B250" s="95">
        <v>46238.0</v>
      </c>
      <c r="C250" s="96" t="s">
        <v>31</v>
      </c>
      <c r="D250" s="6" t="s">
        <v>302</v>
      </c>
      <c r="E250" s="40" t="s">
        <v>19</v>
      </c>
      <c r="F250" s="95">
        <v>46238.0</v>
      </c>
      <c r="G250" s="99">
        <v>260.42</v>
      </c>
      <c r="H250" s="6"/>
      <c r="I250" s="98" t="s">
        <v>69</v>
      </c>
      <c r="J250" s="82">
        <v>46235.0</v>
      </c>
      <c r="K250" s="82">
        <v>46265.0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 t="s">
        <v>303</v>
      </c>
      <c r="B251" s="95">
        <v>46238.0</v>
      </c>
      <c r="C251" s="96" t="s">
        <v>31</v>
      </c>
      <c r="D251" s="6" t="s">
        <v>303</v>
      </c>
      <c r="E251" s="40" t="s">
        <v>19</v>
      </c>
      <c r="F251" s="95">
        <v>46238.0</v>
      </c>
      <c r="G251" s="99">
        <v>250.0</v>
      </c>
      <c r="H251" s="6"/>
      <c r="I251" s="98" t="s">
        <v>69</v>
      </c>
      <c r="J251" s="82">
        <v>46235.0</v>
      </c>
      <c r="K251" s="82">
        <v>46265.0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 t="s">
        <v>218</v>
      </c>
      <c r="B252" s="95">
        <v>46238.0</v>
      </c>
      <c r="C252" s="96" t="s">
        <v>31</v>
      </c>
      <c r="D252" s="6" t="s">
        <v>230</v>
      </c>
      <c r="E252" s="40" t="s">
        <v>19</v>
      </c>
      <c r="F252" s="95">
        <v>46238.0</v>
      </c>
      <c r="G252" s="100">
        <v>1400.0</v>
      </c>
      <c r="H252" s="6"/>
      <c r="I252" s="98" t="s">
        <v>69</v>
      </c>
      <c r="J252" s="82">
        <v>46235.0</v>
      </c>
      <c r="K252" s="82">
        <v>46265.0</v>
      </c>
      <c r="L252" s="6" t="s">
        <v>304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 t="s">
        <v>182</v>
      </c>
      <c r="B253" s="95">
        <v>46238.0</v>
      </c>
      <c r="C253" s="96" t="s">
        <v>31</v>
      </c>
      <c r="D253" s="6" t="s">
        <v>182</v>
      </c>
      <c r="E253" s="40" t="s">
        <v>19</v>
      </c>
      <c r="F253" s="95">
        <v>46238.0</v>
      </c>
      <c r="G253" s="99">
        <v>300.0</v>
      </c>
      <c r="H253" s="6"/>
      <c r="I253" s="96" t="s">
        <v>145</v>
      </c>
      <c r="J253" s="82">
        <v>46204.0</v>
      </c>
      <c r="K253" s="82">
        <v>46233.0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 t="s">
        <v>182</v>
      </c>
      <c r="B254" s="95">
        <v>46238.0</v>
      </c>
      <c r="C254" s="96" t="s">
        <v>31</v>
      </c>
      <c r="D254" s="6" t="s">
        <v>182</v>
      </c>
      <c r="E254" s="40" t="s">
        <v>19</v>
      </c>
      <c r="F254" s="95">
        <v>46238.0</v>
      </c>
      <c r="G254" s="99">
        <v>300.0</v>
      </c>
      <c r="H254" s="6"/>
      <c r="I254" s="96" t="s">
        <v>145</v>
      </c>
      <c r="J254" s="82">
        <v>46204.0</v>
      </c>
      <c r="K254" s="82">
        <v>46233.0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 t="s">
        <v>144</v>
      </c>
      <c r="B255" s="95">
        <v>46238.0</v>
      </c>
      <c r="C255" s="96" t="s">
        <v>31</v>
      </c>
      <c r="D255" s="6" t="s">
        <v>144</v>
      </c>
      <c r="E255" s="40" t="s">
        <v>19</v>
      </c>
      <c r="F255" s="95">
        <v>46238.0</v>
      </c>
      <c r="G255" s="99">
        <v>660.0</v>
      </c>
      <c r="H255" s="6"/>
      <c r="I255" s="96" t="s">
        <v>145</v>
      </c>
      <c r="J255" s="82">
        <v>46204.0</v>
      </c>
      <c r="K255" s="82">
        <v>46233.0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 t="s">
        <v>144</v>
      </c>
      <c r="B256" s="95">
        <v>46238.0</v>
      </c>
      <c r="C256" s="96" t="s">
        <v>31</v>
      </c>
      <c r="D256" s="6" t="s">
        <v>144</v>
      </c>
      <c r="E256" s="40" t="s">
        <v>19</v>
      </c>
      <c r="F256" s="95">
        <v>46238.0</v>
      </c>
      <c r="G256" s="99">
        <v>660.0</v>
      </c>
      <c r="H256" s="6"/>
      <c r="I256" s="96" t="s">
        <v>145</v>
      </c>
      <c r="J256" s="82">
        <v>46204.0</v>
      </c>
      <c r="K256" s="82">
        <v>46233.0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 t="s">
        <v>305</v>
      </c>
      <c r="B257" s="95">
        <v>46239.0</v>
      </c>
      <c r="C257" s="96" t="s">
        <v>31</v>
      </c>
      <c r="D257" s="6" t="s">
        <v>305</v>
      </c>
      <c r="E257" s="40"/>
      <c r="F257" s="95">
        <v>46239.0</v>
      </c>
      <c r="G257" s="99">
        <v>260.49</v>
      </c>
      <c r="H257" s="6"/>
      <c r="I257" s="98" t="s">
        <v>69</v>
      </c>
      <c r="J257" s="81">
        <v>46204.0</v>
      </c>
      <c r="K257" s="81">
        <v>46265.0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 t="s">
        <v>273</v>
      </c>
      <c r="B258" s="95">
        <v>46240.0</v>
      </c>
      <c r="C258" s="96" t="s">
        <v>31</v>
      </c>
      <c r="D258" s="6" t="s">
        <v>273</v>
      </c>
      <c r="E258" s="40" t="s">
        <v>59</v>
      </c>
      <c r="F258" s="95">
        <v>46240.0</v>
      </c>
      <c r="G258" s="99">
        <v>598.08</v>
      </c>
      <c r="H258" s="6" t="s">
        <v>114</v>
      </c>
      <c r="I258" s="98" t="s">
        <v>69</v>
      </c>
      <c r="J258" s="6"/>
      <c r="K258" s="6"/>
      <c r="L258" s="6" t="s">
        <v>306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 t="s">
        <v>193</v>
      </c>
      <c r="B259" s="95">
        <v>46240.0</v>
      </c>
      <c r="C259" s="96" t="s">
        <v>31</v>
      </c>
      <c r="D259" s="6" t="s">
        <v>193</v>
      </c>
      <c r="E259" s="40" t="s">
        <v>59</v>
      </c>
      <c r="F259" s="95">
        <v>46240.0</v>
      </c>
      <c r="G259" s="99">
        <v>866.79</v>
      </c>
      <c r="H259" s="6"/>
      <c r="I259" s="98" t="s">
        <v>69</v>
      </c>
      <c r="J259" s="81">
        <v>46030.0</v>
      </c>
      <c r="K259" s="6" t="s">
        <v>307</v>
      </c>
      <c r="L259" s="6" t="s">
        <v>306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 t="s">
        <v>308</v>
      </c>
      <c r="B260" s="95">
        <v>46240.0</v>
      </c>
      <c r="C260" s="96" t="s">
        <v>31</v>
      </c>
      <c r="D260" s="6" t="s">
        <v>308</v>
      </c>
      <c r="E260" s="40" t="s">
        <v>56</v>
      </c>
      <c r="F260" s="95">
        <v>46240.0</v>
      </c>
      <c r="G260" s="97">
        <v>3033.76</v>
      </c>
      <c r="H260" s="6"/>
      <c r="I260" s="98" t="s">
        <v>69</v>
      </c>
      <c r="J260" s="81">
        <v>46247.0</v>
      </c>
      <c r="K260" s="81">
        <v>46251.0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 t="s">
        <v>309</v>
      </c>
      <c r="B261" s="95">
        <v>46240.0</v>
      </c>
      <c r="C261" s="96" t="s">
        <v>31</v>
      </c>
      <c r="D261" s="6" t="s">
        <v>309</v>
      </c>
      <c r="E261" s="40"/>
      <c r="F261" s="95">
        <v>46240.0</v>
      </c>
      <c r="G261" s="99">
        <v>86.68</v>
      </c>
      <c r="H261" s="6"/>
      <c r="I261" s="98" t="s">
        <v>69</v>
      </c>
      <c r="J261" s="81">
        <v>46204.0</v>
      </c>
      <c r="K261" s="81">
        <v>46265.0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 t="s">
        <v>221</v>
      </c>
      <c r="B262" s="101">
        <v>46219.0</v>
      </c>
      <c r="C262" s="96" t="s">
        <v>31</v>
      </c>
      <c r="D262" s="6" t="s">
        <v>221</v>
      </c>
      <c r="E262" s="40" t="s">
        <v>59</v>
      </c>
      <c r="F262" s="101">
        <v>46219.0</v>
      </c>
      <c r="G262" s="102">
        <v>175.21</v>
      </c>
      <c r="H262" s="48" t="s">
        <v>222</v>
      </c>
      <c r="I262" s="98" t="s">
        <v>69</v>
      </c>
      <c r="J262" s="81">
        <v>46181.0</v>
      </c>
      <c r="K262" s="6" t="s">
        <v>310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 t="s">
        <v>311</v>
      </c>
      <c r="B263" s="95">
        <v>46241.0</v>
      </c>
      <c r="C263" s="96" t="s">
        <v>31</v>
      </c>
      <c r="D263" s="6" t="s">
        <v>311</v>
      </c>
      <c r="E263" s="40" t="s">
        <v>59</v>
      </c>
      <c r="F263" s="95">
        <v>46241.0</v>
      </c>
      <c r="G263" s="99">
        <v>216.62</v>
      </c>
      <c r="H263" s="6"/>
      <c r="I263" s="98" t="s">
        <v>69</v>
      </c>
      <c r="J263" s="81">
        <v>46150.0</v>
      </c>
      <c r="K263" s="6" t="s">
        <v>312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 t="s">
        <v>224</v>
      </c>
      <c r="B264" s="95">
        <v>46241.0</v>
      </c>
      <c r="C264" s="96" t="s">
        <v>31</v>
      </c>
      <c r="D264" s="6" t="s">
        <v>224</v>
      </c>
      <c r="E264" s="40" t="s">
        <v>59</v>
      </c>
      <c r="F264" s="95">
        <v>46241.0</v>
      </c>
      <c r="G264" s="99">
        <v>433.24</v>
      </c>
      <c r="H264" s="6"/>
      <c r="I264" s="98" t="s">
        <v>69</v>
      </c>
      <c r="J264" s="81">
        <v>46030.0</v>
      </c>
      <c r="K264" s="6" t="s">
        <v>307</v>
      </c>
      <c r="L264" s="6" t="s">
        <v>306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 t="s">
        <v>224</v>
      </c>
      <c r="B265" s="95">
        <v>46241.0</v>
      </c>
      <c r="C265" s="96" t="s">
        <v>31</v>
      </c>
      <c r="D265" s="6" t="s">
        <v>224</v>
      </c>
      <c r="E265" s="40" t="s">
        <v>59</v>
      </c>
      <c r="F265" s="95">
        <v>46241.0</v>
      </c>
      <c r="G265" s="102">
        <v>439.1</v>
      </c>
      <c r="H265" s="6"/>
      <c r="I265" s="98" t="s">
        <v>69</v>
      </c>
      <c r="J265" s="81">
        <v>46030.0</v>
      </c>
      <c r="K265" s="6" t="s">
        <v>307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 t="s">
        <v>313</v>
      </c>
      <c r="B266" s="95">
        <v>46241.0</v>
      </c>
      <c r="C266" s="96" t="s">
        <v>31</v>
      </c>
      <c r="D266" s="6" t="s">
        <v>313</v>
      </c>
      <c r="E266" s="89" t="s">
        <v>56</v>
      </c>
      <c r="F266" s="95">
        <v>46241.0</v>
      </c>
      <c r="G266" s="102">
        <v>623.46</v>
      </c>
      <c r="H266" s="6"/>
      <c r="I266" s="98" t="s">
        <v>69</v>
      </c>
      <c r="J266" s="81">
        <v>46244.0</v>
      </c>
      <c r="K266" s="81">
        <v>46246.0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 t="s">
        <v>314</v>
      </c>
      <c r="B267" s="95">
        <v>46241.0</v>
      </c>
      <c r="C267" s="96" t="s">
        <v>31</v>
      </c>
      <c r="D267" s="6" t="s">
        <v>314</v>
      </c>
      <c r="E267" s="40" t="s">
        <v>19</v>
      </c>
      <c r="F267" s="95">
        <v>46241.0</v>
      </c>
      <c r="G267" s="99">
        <v>700.0</v>
      </c>
      <c r="H267" s="6"/>
      <c r="I267" s="98" t="s">
        <v>69</v>
      </c>
      <c r="J267" s="82">
        <v>46235.0</v>
      </c>
      <c r="K267" s="82">
        <v>46265.0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 t="s">
        <v>286</v>
      </c>
      <c r="B268" s="95">
        <v>46235.0</v>
      </c>
      <c r="C268" s="96" t="s">
        <v>31</v>
      </c>
      <c r="D268" s="6" t="s">
        <v>286</v>
      </c>
      <c r="E268" s="40" t="s">
        <v>68</v>
      </c>
      <c r="F268" s="32">
        <v>46235.0</v>
      </c>
      <c r="G268" s="99">
        <v>3750.0</v>
      </c>
      <c r="H268" s="6" t="s">
        <v>114</v>
      </c>
      <c r="I268" s="98" t="s">
        <v>69</v>
      </c>
      <c r="J268" s="58">
        <v>46213.0</v>
      </c>
      <c r="K268" s="82">
        <v>46223.0</v>
      </c>
      <c r="L268" s="6" t="s">
        <v>315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 t="s">
        <v>316</v>
      </c>
      <c r="B269" s="95">
        <v>46244.0</v>
      </c>
      <c r="C269" s="96" t="s">
        <v>31</v>
      </c>
      <c r="D269" s="6" t="s">
        <v>316</v>
      </c>
      <c r="E269" s="40" t="s">
        <v>317</v>
      </c>
      <c r="F269" s="95">
        <v>46244.0</v>
      </c>
      <c r="G269" s="99">
        <v>867.54</v>
      </c>
      <c r="H269" s="6"/>
      <c r="I269" s="98" t="s">
        <v>69</v>
      </c>
      <c r="J269" s="103">
        <v>46245.0</v>
      </c>
      <c r="K269" s="6" t="s">
        <v>45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 t="s">
        <v>302</v>
      </c>
      <c r="B270" s="95">
        <v>46244.0</v>
      </c>
      <c r="C270" s="96" t="s">
        <v>31</v>
      </c>
      <c r="D270" s="6" t="s">
        <v>302</v>
      </c>
      <c r="E270" s="40" t="s">
        <v>19</v>
      </c>
      <c r="F270" s="95">
        <v>46244.0</v>
      </c>
      <c r="G270" s="99">
        <v>520.52</v>
      </c>
      <c r="H270" s="6"/>
      <c r="I270" s="98" t="s">
        <v>69</v>
      </c>
      <c r="J270" s="82">
        <v>46223.0</v>
      </c>
      <c r="K270" s="82">
        <v>46265.0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 t="s">
        <v>318</v>
      </c>
      <c r="B271" s="95">
        <v>46244.0</v>
      </c>
      <c r="C271" s="96" t="s">
        <v>31</v>
      </c>
      <c r="D271" s="6" t="s">
        <v>318</v>
      </c>
      <c r="E271" s="40" t="s">
        <v>317</v>
      </c>
      <c r="F271" s="95">
        <v>46244.0</v>
      </c>
      <c r="G271" s="102">
        <v>346.58</v>
      </c>
      <c r="H271" s="6"/>
      <c r="I271" s="98" t="s">
        <v>69</v>
      </c>
      <c r="J271" s="95">
        <v>46244.0</v>
      </c>
      <c r="K271" s="103">
        <v>46247.0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 t="s">
        <v>319</v>
      </c>
      <c r="B272" s="95">
        <v>46244.0</v>
      </c>
      <c r="C272" s="96" t="s">
        <v>31</v>
      </c>
      <c r="D272" s="6" t="s">
        <v>319</v>
      </c>
      <c r="E272" s="40" t="s">
        <v>317</v>
      </c>
      <c r="F272" s="95">
        <v>46244.0</v>
      </c>
      <c r="G272" s="99">
        <v>520.52</v>
      </c>
      <c r="H272" s="6"/>
      <c r="I272" s="98" t="s">
        <v>69</v>
      </c>
      <c r="J272" s="103">
        <v>46245.0</v>
      </c>
      <c r="K272" s="103">
        <v>46245.0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 t="s">
        <v>320</v>
      </c>
      <c r="B273" s="95">
        <v>46244.0</v>
      </c>
      <c r="C273" s="96" t="s">
        <v>31</v>
      </c>
      <c r="D273" s="6" t="s">
        <v>320</v>
      </c>
      <c r="E273" s="40" t="s">
        <v>19</v>
      </c>
      <c r="F273" s="95">
        <v>46244.0</v>
      </c>
      <c r="G273" s="99">
        <v>1214.55</v>
      </c>
      <c r="H273" s="6"/>
      <c r="I273" s="98" t="s">
        <v>69</v>
      </c>
      <c r="J273" s="82">
        <v>46235.0</v>
      </c>
      <c r="K273" s="82">
        <v>46265.0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 t="s">
        <v>321</v>
      </c>
      <c r="B274" s="95">
        <v>46244.0</v>
      </c>
      <c r="C274" s="96" t="s">
        <v>31</v>
      </c>
      <c r="D274" s="6" t="s">
        <v>321</v>
      </c>
      <c r="E274" s="40"/>
      <c r="F274" s="95">
        <v>46244.0</v>
      </c>
      <c r="G274" s="99">
        <v>6250.0</v>
      </c>
      <c r="H274" s="6" t="s">
        <v>322</v>
      </c>
      <c r="I274" s="98" t="s">
        <v>69</v>
      </c>
      <c r="J274" s="82">
        <v>46182.0</v>
      </c>
      <c r="K274" s="6" t="s">
        <v>323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 t="s">
        <v>324</v>
      </c>
      <c r="B275" s="95">
        <v>46244.0</v>
      </c>
      <c r="C275" s="96" t="s">
        <v>31</v>
      </c>
      <c r="D275" s="6" t="s">
        <v>324</v>
      </c>
      <c r="E275" s="40"/>
      <c r="F275" s="95">
        <v>46244.0</v>
      </c>
      <c r="G275" s="99">
        <v>7807.82</v>
      </c>
      <c r="H275" s="6" t="s">
        <v>325</v>
      </c>
      <c r="I275" s="98" t="s">
        <v>69</v>
      </c>
      <c r="J275" s="82">
        <v>46284.0</v>
      </c>
      <c r="K275" s="82">
        <v>46284.0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 t="s">
        <v>311</v>
      </c>
      <c r="B276" s="95">
        <v>46244.0</v>
      </c>
      <c r="C276" s="96" t="s">
        <v>31</v>
      </c>
      <c r="D276" s="6" t="s">
        <v>311</v>
      </c>
      <c r="E276" s="40" t="s">
        <v>59</v>
      </c>
      <c r="F276" s="95">
        <v>46244.0</v>
      </c>
      <c r="G276" s="99">
        <v>433.77</v>
      </c>
      <c r="H276" s="6"/>
      <c r="I276" s="98" t="s">
        <v>69</v>
      </c>
      <c r="J276" s="82">
        <v>46235.0</v>
      </c>
      <c r="K276" s="82">
        <v>46264.0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 t="s">
        <v>324</v>
      </c>
      <c r="B277" s="95">
        <v>46245.0</v>
      </c>
      <c r="C277" s="96" t="s">
        <v>31</v>
      </c>
      <c r="D277" s="6" t="s">
        <v>324</v>
      </c>
      <c r="E277" s="40"/>
      <c r="F277" s="95">
        <v>46245.0</v>
      </c>
      <c r="G277" s="99">
        <v>4110.47</v>
      </c>
      <c r="H277" s="6" t="s">
        <v>322</v>
      </c>
      <c r="I277" s="98" t="s">
        <v>69</v>
      </c>
      <c r="J277" s="82">
        <v>46284.0</v>
      </c>
      <c r="K277" s="82">
        <v>46284.0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 t="s">
        <v>326</v>
      </c>
      <c r="B278" s="95">
        <v>46245.0</v>
      </c>
      <c r="C278" s="96" t="s">
        <v>31</v>
      </c>
      <c r="D278" s="6" t="s">
        <v>326</v>
      </c>
      <c r="E278" s="40" t="s">
        <v>317</v>
      </c>
      <c r="F278" s="95">
        <v>46245.0</v>
      </c>
      <c r="G278" s="99">
        <v>346.15</v>
      </c>
      <c r="H278" s="6"/>
      <c r="I278" s="98" t="s">
        <v>69</v>
      </c>
      <c r="J278" s="103">
        <v>46239.0</v>
      </c>
      <c r="K278" s="82">
        <v>46248.0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 t="s">
        <v>327</v>
      </c>
      <c r="B279" s="95">
        <v>46246.0</v>
      </c>
      <c r="C279" s="96" t="s">
        <v>31</v>
      </c>
      <c r="D279" s="6" t="s">
        <v>327</v>
      </c>
      <c r="E279" s="40" t="s">
        <v>59</v>
      </c>
      <c r="F279" s="95">
        <v>46246.0</v>
      </c>
      <c r="G279" s="99">
        <v>1040.22</v>
      </c>
      <c r="H279" s="6"/>
      <c r="I279" s="98" t="s">
        <v>69</v>
      </c>
      <c r="J279" s="82">
        <v>46243.0</v>
      </c>
      <c r="K279" s="82">
        <v>46270.0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 t="s">
        <v>221</v>
      </c>
      <c r="B280" s="101">
        <v>46226.0</v>
      </c>
      <c r="C280" s="96" t="s">
        <v>31</v>
      </c>
      <c r="D280" s="6" t="s">
        <v>221</v>
      </c>
      <c r="E280" s="40" t="s">
        <v>59</v>
      </c>
      <c r="F280" s="101">
        <v>46226.0</v>
      </c>
      <c r="G280" s="102">
        <v>175.36</v>
      </c>
      <c r="H280" s="48" t="s">
        <v>222</v>
      </c>
      <c r="I280" s="98" t="s">
        <v>69</v>
      </c>
      <c r="J280" s="82">
        <v>46247.0</v>
      </c>
      <c r="K280" s="82">
        <v>46254.0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4" t="s">
        <v>221</v>
      </c>
      <c r="B281" s="101">
        <v>46233.0</v>
      </c>
      <c r="C281" s="8" t="s">
        <v>31</v>
      </c>
      <c r="D281" s="6" t="s">
        <v>221</v>
      </c>
      <c r="E281" s="40" t="s">
        <v>59</v>
      </c>
      <c r="F281" s="101">
        <v>46233.0</v>
      </c>
      <c r="G281" s="102">
        <v>175.64</v>
      </c>
      <c r="H281" s="48" t="s">
        <v>222</v>
      </c>
      <c r="I281" s="98" t="s">
        <v>69</v>
      </c>
      <c r="J281" s="82">
        <v>46248.0</v>
      </c>
      <c r="K281" s="82">
        <v>46255.0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8" t="s">
        <v>221</v>
      </c>
      <c r="B282" s="101">
        <v>46241.0</v>
      </c>
      <c r="C282" s="96" t="s">
        <v>31</v>
      </c>
      <c r="D282" s="6" t="s">
        <v>221</v>
      </c>
      <c r="E282" s="40" t="s">
        <v>59</v>
      </c>
      <c r="F282" s="101">
        <v>46241.0</v>
      </c>
      <c r="G282" s="102">
        <v>173.3</v>
      </c>
      <c r="H282" s="48" t="s">
        <v>222</v>
      </c>
      <c r="I282" s="98" t="s">
        <v>69</v>
      </c>
      <c r="J282" s="82">
        <v>46249.0</v>
      </c>
      <c r="K282" s="82">
        <v>46256.0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 t="s">
        <v>221</v>
      </c>
      <c r="B283" s="101">
        <v>46247.0</v>
      </c>
      <c r="C283" s="96" t="s">
        <v>31</v>
      </c>
      <c r="D283" s="6" t="s">
        <v>221</v>
      </c>
      <c r="E283" s="40" t="s">
        <v>59</v>
      </c>
      <c r="F283" s="101">
        <v>46247.0</v>
      </c>
      <c r="G283" s="102">
        <v>346.71</v>
      </c>
      <c r="H283" s="48" t="s">
        <v>222</v>
      </c>
      <c r="I283" s="98" t="s">
        <v>69</v>
      </c>
      <c r="J283" s="82">
        <v>46250.0</v>
      </c>
      <c r="K283" s="82">
        <v>46257.0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 t="s">
        <v>328</v>
      </c>
      <c r="B284" s="95">
        <v>46247.0</v>
      </c>
      <c r="C284" s="96" t="s">
        <v>31</v>
      </c>
      <c r="D284" s="6" t="s">
        <v>328</v>
      </c>
      <c r="E284" s="40" t="s">
        <v>317</v>
      </c>
      <c r="F284" s="95">
        <v>46247.0</v>
      </c>
      <c r="G284" s="99">
        <v>130.02</v>
      </c>
      <c r="H284" s="6"/>
      <c r="I284" s="98" t="s">
        <v>69</v>
      </c>
      <c r="J284" s="103">
        <v>46246.0</v>
      </c>
      <c r="K284" s="103">
        <v>46246.0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 t="s">
        <v>327</v>
      </c>
      <c r="B285" s="95">
        <v>46247.0</v>
      </c>
      <c r="C285" s="96" t="s">
        <v>31</v>
      </c>
      <c r="D285" s="6" t="s">
        <v>327</v>
      </c>
      <c r="E285" s="40" t="s">
        <v>59</v>
      </c>
      <c r="F285" s="95">
        <v>46247.0</v>
      </c>
      <c r="G285" s="99">
        <v>3120.4</v>
      </c>
      <c r="H285" s="6"/>
      <c r="I285" s="98" t="s">
        <v>69</v>
      </c>
      <c r="J285" s="82">
        <v>46243.0</v>
      </c>
      <c r="K285" s="82">
        <v>46270.0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8" t="s">
        <v>67</v>
      </c>
      <c r="B286" s="58">
        <v>46235.0</v>
      </c>
      <c r="C286" s="8"/>
      <c r="D286" s="8" t="s">
        <v>67</v>
      </c>
      <c r="E286" s="12"/>
      <c r="F286" s="58">
        <v>46235.0</v>
      </c>
      <c r="G286" s="8">
        <v>8125.62</v>
      </c>
      <c r="H286" s="8" t="s">
        <v>45</v>
      </c>
      <c r="I286" s="8"/>
      <c r="J286" s="58">
        <v>46235.0</v>
      </c>
      <c r="K286" s="58">
        <v>46265.0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 t="s">
        <v>278</v>
      </c>
      <c r="B287" s="95">
        <v>46251.0</v>
      </c>
      <c r="C287" s="96" t="s">
        <v>31</v>
      </c>
      <c r="D287" s="6" t="s">
        <v>278</v>
      </c>
      <c r="E287" s="40" t="s">
        <v>317</v>
      </c>
      <c r="F287" s="95">
        <v>46251.0</v>
      </c>
      <c r="G287" s="99">
        <v>1557.62</v>
      </c>
      <c r="H287" s="6"/>
      <c r="I287" s="98" t="s">
        <v>69</v>
      </c>
      <c r="J287" s="58">
        <v>46235.0</v>
      </c>
      <c r="K287" s="58">
        <v>46265.0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 t="s">
        <v>327</v>
      </c>
      <c r="B288" s="95">
        <v>46251.0</v>
      </c>
      <c r="C288" s="96" t="s">
        <v>31</v>
      </c>
      <c r="D288" s="6" t="s">
        <v>327</v>
      </c>
      <c r="E288" s="40"/>
      <c r="F288" s="95">
        <v>46251.0</v>
      </c>
      <c r="G288" s="99">
        <v>1038.42</v>
      </c>
      <c r="H288" s="6"/>
      <c r="I288" s="98" t="s">
        <v>69</v>
      </c>
      <c r="J288" s="82"/>
      <c r="K288" s="82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 t="s">
        <v>327</v>
      </c>
      <c r="B289" s="95">
        <v>46252.0</v>
      </c>
      <c r="C289" s="96" t="s">
        <v>31</v>
      </c>
      <c r="D289" s="6" t="s">
        <v>327</v>
      </c>
      <c r="E289" s="40"/>
      <c r="F289" s="95">
        <v>46252.0</v>
      </c>
      <c r="G289" s="99">
        <v>1035.21</v>
      </c>
      <c r="H289" s="6"/>
      <c r="I289" s="98" t="s">
        <v>69</v>
      </c>
      <c r="J289" s="82"/>
      <c r="K289" s="82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 t="s">
        <v>329</v>
      </c>
      <c r="B290" s="95">
        <v>46253.0</v>
      </c>
      <c r="C290" s="96" t="s">
        <v>31</v>
      </c>
      <c r="D290" s="6" t="s">
        <v>329</v>
      </c>
      <c r="E290" s="40"/>
      <c r="F290" s="95">
        <v>46253.0</v>
      </c>
      <c r="G290" s="99">
        <v>259.16</v>
      </c>
      <c r="H290" s="6"/>
      <c r="I290" s="98" t="s">
        <v>69</v>
      </c>
      <c r="J290" s="82"/>
      <c r="K290" s="82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 t="s">
        <v>330</v>
      </c>
      <c r="B291" s="95">
        <v>46253.0</v>
      </c>
      <c r="C291" s="96" t="s">
        <v>31</v>
      </c>
      <c r="D291" s="6" t="s">
        <v>330</v>
      </c>
      <c r="E291" s="40"/>
      <c r="F291" s="95">
        <v>46253.0</v>
      </c>
      <c r="G291" s="105">
        <v>1297.29</v>
      </c>
      <c r="H291" s="6"/>
      <c r="I291" s="98" t="s">
        <v>69</v>
      </c>
      <c r="J291" s="82">
        <v>46223.0</v>
      </c>
      <c r="K291" s="82">
        <v>46265.0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 t="s">
        <v>329</v>
      </c>
      <c r="B292" s="95">
        <v>46254.0</v>
      </c>
      <c r="C292" s="96" t="s">
        <v>31</v>
      </c>
      <c r="D292" s="6" t="s">
        <v>329</v>
      </c>
      <c r="E292" s="40"/>
      <c r="F292" s="95">
        <v>46254.0</v>
      </c>
      <c r="G292" s="99">
        <v>258.37</v>
      </c>
      <c r="H292" s="6"/>
      <c r="I292" s="98" t="s">
        <v>69</v>
      </c>
      <c r="J292" s="82"/>
      <c r="K292" s="82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 t="s">
        <v>331</v>
      </c>
      <c r="B293" s="95">
        <v>46254.0</v>
      </c>
      <c r="C293" s="96" t="s">
        <v>31</v>
      </c>
      <c r="D293" s="6" t="s">
        <v>331</v>
      </c>
      <c r="E293" s="40" t="s">
        <v>317</v>
      </c>
      <c r="F293" s="95">
        <v>46254.0</v>
      </c>
      <c r="G293" s="99">
        <v>172.25</v>
      </c>
      <c r="H293" s="6"/>
      <c r="I293" s="98" t="s">
        <v>69</v>
      </c>
      <c r="J293" s="103">
        <v>46255.0</v>
      </c>
      <c r="K293" s="103">
        <v>46255.0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 t="s">
        <v>327</v>
      </c>
      <c r="B294" s="95">
        <v>46255.0</v>
      </c>
      <c r="C294" s="96" t="s">
        <v>31</v>
      </c>
      <c r="D294" s="6" t="s">
        <v>327</v>
      </c>
      <c r="E294" s="40"/>
      <c r="F294" s="95">
        <v>46255.0</v>
      </c>
      <c r="G294" s="99">
        <v>2051.09</v>
      </c>
      <c r="H294" s="6"/>
      <c r="I294" s="98" t="s">
        <v>69</v>
      </c>
      <c r="J294" s="82"/>
      <c r="K294" s="82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 t="s">
        <v>332</v>
      </c>
      <c r="B295" s="95">
        <v>46255.0</v>
      </c>
      <c r="C295" s="96" t="s">
        <v>31</v>
      </c>
      <c r="D295" s="6" t="s">
        <v>332</v>
      </c>
      <c r="E295" s="40"/>
      <c r="F295" s="95">
        <v>46255.0</v>
      </c>
      <c r="G295" s="99">
        <v>256.39</v>
      </c>
      <c r="H295" s="6"/>
      <c r="I295" s="98" t="s">
        <v>69</v>
      </c>
      <c r="J295" s="106">
        <v>46198.0</v>
      </c>
      <c r="K295" s="106">
        <v>46259.0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 t="s">
        <v>329</v>
      </c>
      <c r="B296" s="107">
        <v>46246.0</v>
      </c>
      <c r="C296" s="108" t="s">
        <v>31</v>
      </c>
      <c r="D296" s="6" t="s">
        <v>329</v>
      </c>
      <c r="E296" s="40"/>
      <c r="F296" s="107">
        <v>46246.0</v>
      </c>
      <c r="G296" s="102">
        <v>260.06</v>
      </c>
      <c r="H296" s="6"/>
      <c r="I296" s="109" t="s">
        <v>69</v>
      </c>
      <c r="J296" s="82"/>
      <c r="K296" s="82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 t="s">
        <v>329</v>
      </c>
      <c r="B297" s="95">
        <v>46258.0</v>
      </c>
      <c r="C297" s="96" t="s">
        <v>31</v>
      </c>
      <c r="D297" s="6" t="s">
        <v>329</v>
      </c>
      <c r="E297" s="40"/>
      <c r="F297" s="95">
        <v>46258.0</v>
      </c>
      <c r="G297" s="99">
        <v>328.86</v>
      </c>
      <c r="H297" s="6"/>
      <c r="I297" s="98" t="s">
        <v>69</v>
      </c>
      <c r="J297" s="82"/>
      <c r="K297" s="82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 t="s">
        <v>333</v>
      </c>
      <c r="B298" s="95">
        <v>46260.0</v>
      </c>
      <c r="C298" s="96" t="s">
        <v>84</v>
      </c>
      <c r="D298" s="6" t="s">
        <v>333</v>
      </c>
      <c r="E298" s="40"/>
      <c r="F298" s="95">
        <v>46260.0</v>
      </c>
      <c r="G298" s="99">
        <v>2100.0</v>
      </c>
      <c r="H298" s="6"/>
      <c r="I298" s="98" t="s">
        <v>28</v>
      </c>
      <c r="J298" s="106">
        <v>46204.0</v>
      </c>
      <c r="K298" s="106">
        <v>46266.0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 t="s">
        <v>295</v>
      </c>
      <c r="B299" s="95">
        <v>46260.0</v>
      </c>
      <c r="C299" s="96" t="s">
        <v>31</v>
      </c>
      <c r="D299" s="6" t="s">
        <v>295</v>
      </c>
      <c r="E299" s="40"/>
      <c r="F299" s="95">
        <v>46260.0</v>
      </c>
      <c r="G299" s="99">
        <v>4523.31</v>
      </c>
      <c r="H299" s="6"/>
      <c r="I299" s="98" t="s">
        <v>69</v>
      </c>
      <c r="J299" s="82"/>
      <c r="K299" s="82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 t="s">
        <v>334</v>
      </c>
      <c r="B300" s="95">
        <v>46261.0</v>
      </c>
      <c r="C300" s="96" t="s">
        <v>31</v>
      </c>
      <c r="D300" s="6" t="s">
        <v>334</v>
      </c>
      <c r="E300" s="40"/>
      <c r="F300" s="95">
        <v>46261.0</v>
      </c>
      <c r="G300" s="99">
        <v>550.0</v>
      </c>
      <c r="H300" s="6"/>
      <c r="I300" s="98" t="s">
        <v>69</v>
      </c>
      <c r="J300" s="106">
        <v>46235.0</v>
      </c>
      <c r="K300" s="106">
        <v>46266.0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 t="s">
        <v>332</v>
      </c>
      <c r="B301" s="95">
        <v>46261.0</v>
      </c>
      <c r="C301" s="96" t="s">
        <v>31</v>
      </c>
      <c r="D301" s="6" t="s">
        <v>332</v>
      </c>
      <c r="E301" s="40"/>
      <c r="F301" s="95">
        <v>46261.0</v>
      </c>
      <c r="G301" s="99">
        <v>257.23</v>
      </c>
      <c r="H301" s="6"/>
      <c r="I301" s="98" t="s">
        <v>69</v>
      </c>
      <c r="J301" s="91" t="s">
        <v>336</v>
      </c>
      <c r="K301" s="91" t="s">
        <v>337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hidden="1" customHeight="1">
      <c r="A302" s="8" t="s">
        <v>338</v>
      </c>
      <c r="B302" s="58">
        <v>46023.0</v>
      </c>
      <c r="C302" s="8" t="s">
        <v>339</v>
      </c>
      <c r="D302" s="8" t="s">
        <v>338</v>
      </c>
      <c r="E302" s="12"/>
      <c r="F302" s="32">
        <v>46023.0</v>
      </c>
      <c r="G302" s="8">
        <v>0.0</v>
      </c>
      <c r="H302" s="8" t="s">
        <v>114</v>
      </c>
      <c r="I302" s="8" t="s">
        <v>338</v>
      </c>
      <c r="J302" s="58">
        <v>46023.0</v>
      </c>
      <c r="K302" s="58">
        <v>46053.0</v>
      </c>
      <c r="L302" s="6" t="s">
        <v>340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8" t="s">
        <v>338</v>
      </c>
      <c r="B303" s="58">
        <v>46054.0</v>
      </c>
      <c r="C303" s="8" t="s">
        <v>339</v>
      </c>
      <c r="D303" s="8" t="s">
        <v>338</v>
      </c>
      <c r="E303" s="12"/>
      <c r="F303" s="32">
        <v>46054.0</v>
      </c>
      <c r="G303" s="8">
        <v>20000.0</v>
      </c>
      <c r="H303" s="8" t="s">
        <v>114</v>
      </c>
      <c r="I303" s="8" t="s">
        <v>338</v>
      </c>
      <c r="J303" s="58">
        <v>46054.0</v>
      </c>
      <c r="K303" s="58">
        <v>46081.0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8" t="s">
        <v>338</v>
      </c>
      <c r="B304" s="58">
        <v>46082.0</v>
      </c>
      <c r="C304" s="8" t="s">
        <v>339</v>
      </c>
      <c r="D304" s="8" t="s">
        <v>338</v>
      </c>
      <c r="E304" s="12"/>
      <c r="F304" s="32">
        <v>46082.0</v>
      </c>
      <c r="G304" s="8">
        <v>0.0</v>
      </c>
      <c r="H304" s="8" t="s">
        <v>114</v>
      </c>
      <c r="I304" s="8" t="s">
        <v>338</v>
      </c>
      <c r="J304" s="58">
        <v>46082.0</v>
      </c>
      <c r="K304" s="58">
        <v>46112.0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8" t="s">
        <v>338</v>
      </c>
      <c r="B305" s="58">
        <v>46113.0</v>
      </c>
      <c r="C305" s="8" t="s">
        <v>339</v>
      </c>
      <c r="D305" s="8" t="s">
        <v>338</v>
      </c>
      <c r="E305" s="12"/>
      <c r="F305" s="32">
        <v>46113.0</v>
      </c>
      <c r="G305" s="8">
        <v>0.0</v>
      </c>
      <c r="H305" s="8" t="s">
        <v>114</v>
      </c>
      <c r="I305" s="8" t="s">
        <v>338</v>
      </c>
      <c r="J305" s="58">
        <v>46113.0</v>
      </c>
      <c r="K305" s="58">
        <v>46142.0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8" t="s">
        <v>338</v>
      </c>
      <c r="B306" s="58">
        <v>46143.0</v>
      </c>
      <c r="C306" s="8" t="s">
        <v>339</v>
      </c>
      <c r="D306" s="8" t="s">
        <v>338</v>
      </c>
      <c r="E306" s="12"/>
      <c r="F306" s="32">
        <v>46143.0</v>
      </c>
      <c r="G306" s="8">
        <v>4614.52</v>
      </c>
      <c r="H306" s="8" t="s">
        <v>114</v>
      </c>
      <c r="I306" s="8" t="s">
        <v>338</v>
      </c>
      <c r="J306" s="58">
        <v>46143.0</v>
      </c>
      <c r="K306" s="58">
        <v>46173.0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8" t="s">
        <v>338</v>
      </c>
      <c r="B307" s="58">
        <v>46174.0</v>
      </c>
      <c r="C307" s="8" t="s">
        <v>339</v>
      </c>
      <c r="D307" s="8" t="s">
        <v>338</v>
      </c>
      <c r="E307" s="12"/>
      <c r="F307" s="32">
        <v>46174.0</v>
      </c>
      <c r="G307" s="8">
        <v>660.15</v>
      </c>
      <c r="H307" s="8" t="s">
        <v>114</v>
      </c>
      <c r="I307" s="8" t="s">
        <v>338</v>
      </c>
      <c r="J307" s="58">
        <v>46174.0</v>
      </c>
      <c r="K307" s="58">
        <v>46203.0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8" t="s">
        <v>338</v>
      </c>
      <c r="B308" s="58">
        <v>46204.0</v>
      </c>
      <c r="C308" s="8" t="s">
        <v>339</v>
      </c>
      <c r="D308" s="8" t="s">
        <v>338</v>
      </c>
      <c r="E308" s="12"/>
      <c r="F308" s="32">
        <v>46204.0</v>
      </c>
      <c r="G308" s="8">
        <v>20701.87</v>
      </c>
      <c r="H308" s="8" t="s">
        <v>114</v>
      </c>
      <c r="I308" s="8" t="s">
        <v>338</v>
      </c>
      <c r="J308" s="58">
        <v>46204.0</v>
      </c>
      <c r="K308" s="58">
        <v>46234.0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8" t="s">
        <v>338</v>
      </c>
      <c r="B309" s="58">
        <v>46235.0</v>
      </c>
      <c r="C309" s="8" t="s">
        <v>339</v>
      </c>
      <c r="D309" s="8" t="s">
        <v>338</v>
      </c>
      <c r="E309" s="12"/>
      <c r="F309" s="32">
        <v>46235.0</v>
      </c>
      <c r="G309" s="8">
        <v>23745.76</v>
      </c>
      <c r="H309" s="8" t="s">
        <v>114</v>
      </c>
      <c r="I309" s="8" t="s">
        <v>338</v>
      </c>
      <c r="J309" s="58">
        <v>46235.0</v>
      </c>
      <c r="K309" s="58">
        <v>46265.0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 t="s">
        <v>341</v>
      </c>
      <c r="B310" s="95">
        <v>46143.0</v>
      </c>
      <c r="C310" s="96" t="s">
        <v>31</v>
      </c>
      <c r="D310" s="6" t="s">
        <v>341</v>
      </c>
      <c r="E310" s="40"/>
      <c r="F310" s="95">
        <v>46143.0</v>
      </c>
      <c r="G310" s="99">
        <v>128.17</v>
      </c>
      <c r="H310" s="6"/>
      <c r="I310" s="98" t="s">
        <v>145</v>
      </c>
      <c r="J310" s="106">
        <v>46143.0</v>
      </c>
      <c r="K310" s="106">
        <v>46174.0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 t="s">
        <v>342</v>
      </c>
      <c r="B311" s="95">
        <v>46174.0</v>
      </c>
      <c r="C311" s="96" t="s">
        <v>84</v>
      </c>
      <c r="D311" s="6" t="s">
        <v>342</v>
      </c>
      <c r="E311" s="40"/>
      <c r="F311" s="95">
        <v>46174.0</v>
      </c>
      <c r="G311" s="99">
        <v>1080.0</v>
      </c>
      <c r="H311" s="6"/>
      <c r="I311" s="98" t="s">
        <v>65</v>
      </c>
      <c r="J311" s="82"/>
      <c r="K311" s="82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 t="s">
        <v>343</v>
      </c>
      <c r="B312" s="95">
        <v>46216.0</v>
      </c>
      <c r="C312" s="96" t="s">
        <v>31</v>
      </c>
      <c r="D312" s="6" t="s">
        <v>343</v>
      </c>
      <c r="E312" s="40"/>
      <c r="F312" s="95">
        <v>46216.0</v>
      </c>
      <c r="G312" s="99">
        <v>800.0</v>
      </c>
      <c r="H312" s="6"/>
      <c r="I312" s="98" t="s">
        <v>28</v>
      </c>
      <c r="J312" s="91" t="s">
        <v>344</v>
      </c>
      <c r="K312" s="91" t="s">
        <v>345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 t="s">
        <v>346</v>
      </c>
      <c r="B313" s="95">
        <v>46233.0</v>
      </c>
      <c r="C313" s="96" t="s">
        <v>31</v>
      </c>
      <c r="D313" s="6" t="s">
        <v>346</v>
      </c>
      <c r="E313" s="40"/>
      <c r="F313" s="95">
        <v>46233.0</v>
      </c>
      <c r="G313" s="99">
        <v>109.77</v>
      </c>
      <c r="H313" s="6"/>
      <c r="I313" s="98" t="s">
        <v>69</v>
      </c>
      <c r="J313" s="106">
        <v>46204.0</v>
      </c>
      <c r="K313" s="106">
        <v>46235.0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40"/>
      <c r="E314" s="4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40"/>
      <c r="E315" s="4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40"/>
      <c r="E316" s="4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40"/>
      <c r="E317" s="40"/>
      <c r="F317" s="6"/>
      <c r="G317" s="6"/>
      <c r="H317" s="9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40"/>
      <c r="E318" s="4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40"/>
      <c r="E319" s="4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40"/>
      <c r="E320" s="4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40"/>
      <c r="E321" s="4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40"/>
      <c r="E322" s="4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40"/>
      <c r="E323" s="4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40"/>
      <c r="E324" s="4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40"/>
      <c r="E325" s="4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40"/>
      <c r="E326" s="4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40"/>
      <c r="E327" s="4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40"/>
      <c r="E328" s="4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40"/>
      <c r="E329" s="4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40"/>
      <c r="E330" s="4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40"/>
      <c r="E331" s="4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40"/>
      <c r="E332" s="4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40"/>
      <c r="E333" s="4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40"/>
      <c r="E334" s="4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40"/>
      <c r="E335" s="4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40"/>
      <c r="E336" s="4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40"/>
      <c r="E337" s="4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40"/>
      <c r="E338" s="4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40"/>
      <c r="E339" s="4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40"/>
      <c r="E340" s="4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40"/>
      <c r="E341" s="4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40"/>
      <c r="E342" s="4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40"/>
      <c r="E343" s="4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40"/>
      <c r="E344" s="4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40"/>
      <c r="E345" s="4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40"/>
      <c r="E346" s="4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40"/>
      <c r="E347" s="4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40"/>
      <c r="E348" s="4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40"/>
      <c r="E349" s="4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40"/>
      <c r="E350" s="4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40"/>
      <c r="E351" s="4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40"/>
      <c r="E352" s="4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40"/>
      <c r="E353" s="4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40"/>
      <c r="E354" s="4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40"/>
      <c r="E355" s="4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40"/>
      <c r="E356" s="4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40"/>
      <c r="E357" s="4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40"/>
      <c r="E358" s="4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40"/>
      <c r="E359" s="4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40"/>
      <c r="E360" s="4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40"/>
      <c r="E361" s="4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40"/>
      <c r="E362" s="4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40"/>
      <c r="E363" s="4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40"/>
      <c r="E364" s="4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40"/>
      <c r="E365" s="4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40"/>
      <c r="E366" s="4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40"/>
      <c r="E367" s="4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40"/>
      <c r="E368" s="4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40"/>
      <c r="E369" s="4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40"/>
      <c r="E370" s="4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40"/>
      <c r="E371" s="4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40"/>
      <c r="E372" s="4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40"/>
      <c r="E373" s="4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40"/>
      <c r="E374" s="4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40"/>
      <c r="E375" s="4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40"/>
      <c r="E376" s="4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40"/>
      <c r="E377" s="4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40"/>
      <c r="E378" s="4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40"/>
      <c r="E379" s="4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40"/>
      <c r="E380" s="4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40"/>
      <c r="E381" s="4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40"/>
      <c r="E382" s="4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40"/>
      <c r="E383" s="4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40"/>
      <c r="E384" s="4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40"/>
      <c r="E385" s="4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40"/>
      <c r="E386" s="4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40"/>
      <c r="E387" s="4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40"/>
      <c r="E388" s="4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40"/>
      <c r="E389" s="4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40"/>
      <c r="E390" s="4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40"/>
      <c r="E391" s="4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40"/>
      <c r="E392" s="4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40"/>
      <c r="E393" s="4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40"/>
      <c r="E394" s="4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40"/>
      <c r="E395" s="4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40"/>
      <c r="E396" s="4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40"/>
      <c r="E397" s="4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40"/>
      <c r="E398" s="4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40"/>
      <c r="E399" s="4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40"/>
      <c r="E400" s="4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40"/>
      <c r="E401" s="4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40"/>
      <c r="E402" s="4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40"/>
      <c r="E403" s="4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40"/>
      <c r="E404" s="4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40"/>
      <c r="E405" s="4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40"/>
      <c r="E406" s="4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40"/>
      <c r="E407" s="4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40"/>
      <c r="E408" s="4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40"/>
      <c r="E409" s="4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40"/>
      <c r="E410" s="4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40"/>
      <c r="E411" s="4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40"/>
      <c r="E412" s="4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40"/>
      <c r="E413" s="4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40"/>
      <c r="E414" s="4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40"/>
      <c r="E415" s="4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40"/>
      <c r="E416" s="4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40"/>
      <c r="E417" s="4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40"/>
      <c r="E418" s="4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40"/>
      <c r="E419" s="4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40"/>
      <c r="E420" s="4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40"/>
      <c r="E421" s="4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40"/>
      <c r="E422" s="4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40"/>
      <c r="E423" s="4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40"/>
      <c r="E424" s="4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40"/>
      <c r="E425" s="4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40"/>
      <c r="E426" s="4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40"/>
      <c r="E427" s="4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40"/>
      <c r="E428" s="4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40"/>
      <c r="E429" s="4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40"/>
      <c r="E430" s="4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40"/>
      <c r="E431" s="4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40"/>
      <c r="E432" s="4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40"/>
      <c r="E433" s="4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40"/>
      <c r="E434" s="4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40"/>
      <c r="E435" s="4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40"/>
      <c r="E436" s="4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40"/>
      <c r="E437" s="4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40"/>
      <c r="E438" s="4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40"/>
      <c r="E439" s="4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40"/>
      <c r="E440" s="4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40"/>
      <c r="E441" s="4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40"/>
      <c r="E442" s="4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40"/>
      <c r="E443" s="4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40"/>
      <c r="E444" s="4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40"/>
      <c r="E445" s="4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40"/>
      <c r="E446" s="4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40"/>
      <c r="E447" s="4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40"/>
      <c r="E448" s="4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40"/>
      <c r="E449" s="4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40"/>
      <c r="E450" s="4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40"/>
      <c r="E451" s="4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40"/>
      <c r="E452" s="4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40"/>
      <c r="E453" s="4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40"/>
      <c r="E454" s="4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40"/>
      <c r="E455" s="4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40"/>
      <c r="E456" s="4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40"/>
      <c r="E457" s="4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40"/>
      <c r="E458" s="4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40"/>
      <c r="E459" s="4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40"/>
      <c r="E460" s="4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40"/>
      <c r="E461" s="4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40"/>
      <c r="E462" s="4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40"/>
      <c r="E463" s="4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40"/>
      <c r="E464" s="4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40"/>
      <c r="E465" s="4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40"/>
      <c r="E466" s="4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40"/>
      <c r="E467" s="4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40"/>
      <c r="E468" s="4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40"/>
      <c r="E469" s="4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40"/>
      <c r="E470" s="4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40"/>
      <c r="E471" s="4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40"/>
      <c r="E472" s="4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40"/>
      <c r="E473" s="4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40"/>
      <c r="E474" s="4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40"/>
      <c r="E475" s="4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40"/>
      <c r="E476" s="4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40"/>
      <c r="E477" s="4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40"/>
      <c r="E478" s="4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40"/>
      <c r="E479" s="4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40"/>
      <c r="E480" s="4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40"/>
      <c r="E481" s="4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40"/>
      <c r="E482" s="4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40"/>
      <c r="E483" s="4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40"/>
      <c r="E484" s="4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40"/>
      <c r="E485" s="4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40"/>
      <c r="E486" s="4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40"/>
      <c r="E487" s="4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40"/>
      <c r="E488" s="4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40"/>
      <c r="E489" s="4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40"/>
      <c r="E490" s="4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40"/>
      <c r="E491" s="4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40"/>
      <c r="E492" s="4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40"/>
      <c r="E493" s="4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40"/>
      <c r="E494" s="4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40"/>
      <c r="E495" s="4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40"/>
      <c r="E496" s="4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40"/>
      <c r="E497" s="4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40"/>
      <c r="E498" s="4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40"/>
      <c r="E499" s="4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40"/>
      <c r="E500" s="4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40"/>
      <c r="E501" s="4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40"/>
      <c r="E502" s="4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40"/>
      <c r="E503" s="4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40"/>
      <c r="E504" s="4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40"/>
      <c r="E505" s="4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40"/>
      <c r="E506" s="4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40"/>
      <c r="E507" s="4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40"/>
      <c r="E508" s="4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40"/>
      <c r="E509" s="4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40"/>
      <c r="E510" s="4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40"/>
      <c r="E511" s="4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40"/>
      <c r="E512" s="4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40"/>
      <c r="E513" s="4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40"/>
      <c r="E514" s="4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40"/>
      <c r="E515" s="4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40"/>
      <c r="E516" s="4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40"/>
      <c r="E517" s="4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40"/>
      <c r="E518" s="4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40"/>
      <c r="E519" s="4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40"/>
      <c r="E520" s="4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40"/>
      <c r="E521" s="4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40"/>
      <c r="E522" s="4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40"/>
      <c r="E523" s="4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40"/>
      <c r="E524" s="4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40"/>
      <c r="E525" s="4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40"/>
      <c r="E526" s="4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40"/>
      <c r="E527" s="4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40"/>
      <c r="E528" s="4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40"/>
      <c r="E529" s="4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40"/>
      <c r="E530" s="4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40"/>
      <c r="E531" s="4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40"/>
      <c r="E532" s="4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40"/>
      <c r="E533" s="4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40"/>
      <c r="E534" s="4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40"/>
      <c r="E535" s="4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40"/>
      <c r="E536" s="4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40"/>
      <c r="E537" s="4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40"/>
      <c r="E538" s="4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40"/>
      <c r="E539" s="4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40"/>
      <c r="E540" s="4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40"/>
      <c r="E541" s="4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40"/>
      <c r="E542" s="4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40"/>
      <c r="E543" s="4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40"/>
      <c r="E544" s="4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40"/>
      <c r="E545" s="4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40"/>
      <c r="E546" s="4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40"/>
      <c r="E547" s="4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40"/>
      <c r="E548" s="4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40"/>
      <c r="E549" s="4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40"/>
      <c r="E550" s="4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40"/>
      <c r="E551" s="4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40"/>
      <c r="E552" s="4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40"/>
      <c r="E553" s="4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40"/>
      <c r="E554" s="4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40"/>
      <c r="E555" s="4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40"/>
      <c r="E556" s="4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40"/>
      <c r="E557" s="4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40"/>
      <c r="E558" s="4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40"/>
      <c r="E559" s="4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40"/>
      <c r="E560" s="4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40"/>
      <c r="E561" s="4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40"/>
      <c r="E562" s="4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40"/>
      <c r="E563" s="4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40"/>
      <c r="E564" s="4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40"/>
      <c r="E565" s="4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40"/>
      <c r="E566" s="4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40"/>
      <c r="E567" s="4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40"/>
      <c r="E568" s="4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40"/>
      <c r="E569" s="4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40"/>
      <c r="E570" s="4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40"/>
      <c r="E571" s="4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40"/>
      <c r="E572" s="4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40"/>
      <c r="E573" s="4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40"/>
      <c r="E574" s="4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40"/>
      <c r="E575" s="4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40"/>
      <c r="E576" s="4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40"/>
      <c r="E577" s="4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40"/>
      <c r="E578" s="4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40"/>
      <c r="E579" s="4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40"/>
      <c r="E580" s="4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40"/>
      <c r="E581" s="4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40"/>
      <c r="E582" s="4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40"/>
      <c r="E583" s="4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40"/>
      <c r="E584" s="4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40"/>
      <c r="E585" s="4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40"/>
      <c r="E586" s="4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40"/>
      <c r="E587" s="4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40"/>
      <c r="E588" s="4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40"/>
      <c r="E589" s="4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40"/>
      <c r="E590" s="4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40"/>
      <c r="E591" s="4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40"/>
      <c r="E592" s="4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40"/>
      <c r="E593" s="4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40"/>
      <c r="E594" s="4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40"/>
      <c r="E595" s="4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40"/>
      <c r="E596" s="4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40"/>
      <c r="E597" s="4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40"/>
      <c r="E598" s="4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40"/>
      <c r="E599" s="4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40"/>
      <c r="E600" s="4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40"/>
      <c r="E601" s="4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40"/>
      <c r="E602" s="4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40"/>
      <c r="E603" s="4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40"/>
      <c r="E604" s="4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40"/>
      <c r="E605" s="4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40"/>
      <c r="E606" s="4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40"/>
      <c r="E607" s="4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40"/>
      <c r="E608" s="4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40"/>
      <c r="E609" s="4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40"/>
      <c r="E610" s="4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40"/>
      <c r="E611" s="4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40"/>
      <c r="E612" s="4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40"/>
      <c r="E613" s="4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40"/>
      <c r="E614" s="4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40"/>
      <c r="E615" s="4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40"/>
      <c r="E616" s="4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40"/>
      <c r="E617" s="4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40"/>
      <c r="E618" s="4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40"/>
      <c r="E619" s="4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40"/>
      <c r="E620" s="4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40"/>
      <c r="E621" s="4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40"/>
      <c r="E622" s="4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40"/>
      <c r="E623" s="4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40"/>
      <c r="E624" s="4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40"/>
      <c r="E625" s="4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40"/>
      <c r="E626" s="4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40"/>
      <c r="E627" s="4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40"/>
      <c r="E628" s="4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40"/>
      <c r="E629" s="4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40"/>
      <c r="E630" s="4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40"/>
      <c r="E631" s="4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40"/>
      <c r="E632" s="4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40"/>
      <c r="E633" s="4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40"/>
      <c r="E634" s="4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40"/>
      <c r="E635" s="4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40"/>
      <c r="E636" s="4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40"/>
      <c r="E637" s="4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40"/>
      <c r="E638" s="4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40"/>
      <c r="E639" s="4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40"/>
      <c r="E640" s="4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40"/>
      <c r="E641" s="4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40"/>
      <c r="E642" s="4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40"/>
      <c r="E643" s="4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40"/>
      <c r="E644" s="4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40"/>
      <c r="E645" s="4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40"/>
      <c r="E646" s="4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40"/>
      <c r="E647" s="4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40"/>
      <c r="E648" s="4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40"/>
      <c r="E649" s="4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40"/>
      <c r="E650" s="4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40"/>
      <c r="E651" s="4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40"/>
      <c r="E652" s="4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40"/>
      <c r="E653" s="4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40"/>
      <c r="E654" s="4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40"/>
      <c r="E655" s="4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40"/>
      <c r="E656" s="4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40"/>
      <c r="E657" s="4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40"/>
      <c r="E658" s="4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40"/>
      <c r="E659" s="4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40"/>
      <c r="E660" s="4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40"/>
      <c r="E661" s="4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40"/>
      <c r="E662" s="4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40"/>
      <c r="E663" s="4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40"/>
      <c r="E664" s="4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40"/>
      <c r="E665" s="4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40"/>
      <c r="E666" s="4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40"/>
      <c r="E667" s="4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40"/>
      <c r="E668" s="4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40"/>
      <c r="E669" s="4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40"/>
      <c r="E670" s="4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40"/>
      <c r="E671" s="4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40"/>
      <c r="E672" s="4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40"/>
      <c r="E673" s="4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40"/>
      <c r="E674" s="4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40"/>
      <c r="E675" s="4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40"/>
      <c r="E676" s="4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40"/>
      <c r="E677" s="4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40"/>
      <c r="E678" s="4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40"/>
      <c r="E679" s="4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40"/>
      <c r="E680" s="4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40"/>
      <c r="E681" s="4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40"/>
      <c r="E682" s="4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40"/>
      <c r="E683" s="4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40"/>
      <c r="E684" s="4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40"/>
      <c r="E685" s="4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40"/>
      <c r="E686" s="4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40"/>
      <c r="E687" s="4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40"/>
      <c r="E688" s="4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40"/>
      <c r="E689" s="4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40"/>
      <c r="E690" s="4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40"/>
      <c r="E691" s="4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40"/>
      <c r="E692" s="4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40"/>
      <c r="E693" s="4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40"/>
      <c r="E694" s="4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40"/>
      <c r="E695" s="4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40"/>
      <c r="E696" s="4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40"/>
      <c r="E697" s="4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40"/>
      <c r="E698" s="4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40"/>
      <c r="E699" s="4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40"/>
      <c r="E700" s="4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40"/>
      <c r="E701" s="4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40"/>
      <c r="E702" s="4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40"/>
      <c r="E703" s="4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40"/>
      <c r="E704" s="4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40"/>
      <c r="E705" s="4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40"/>
      <c r="E706" s="4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40"/>
      <c r="E707" s="4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40"/>
      <c r="E708" s="4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40"/>
      <c r="E709" s="4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40"/>
      <c r="E710" s="4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40"/>
      <c r="E711" s="4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40"/>
      <c r="E712" s="4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40"/>
      <c r="E713" s="4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40"/>
      <c r="E714" s="4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40"/>
      <c r="E715" s="4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40"/>
      <c r="E716" s="4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40"/>
      <c r="E717" s="4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40"/>
      <c r="E718" s="4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40"/>
      <c r="E719" s="4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40"/>
      <c r="E720" s="4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40"/>
      <c r="E721" s="4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40"/>
      <c r="E722" s="4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40"/>
      <c r="E723" s="4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40"/>
      <c r="E724" s="4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40"/>
      <c r="E725" s="4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40"/>
      <c r="E726" s="4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40"/>
      <c r="E727" s="4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40"/>
      <c r="E728" s="4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40"/>
      <c r="E729" s="4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40"/>
      <c r="E730" s="4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40"/>
      <c r="E731" s="4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40"/>
      <c r="E732" s="4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40"/>
      <c r="E733" s="4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40"/>
      <c r="E734" s="4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40"/>
      <c r="E735" s="4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40"/>
      <c r="E736" s="4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40"/>
      <c r="E737" s="4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40"/>
      <c r="E738" s="4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40"/>
      <c r="E739" s="4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40"/>
      <c r="E740" s="4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40"/>
      <c r="E741" s="4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40"/>
      <c r="E742" s="4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40"/>
      <c r="E743" s="4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40"/>
      <c r="E744" s="4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40"/>
      <c r="E745" s="4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40"/>
      <c r="E746" s="4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40"/>
      <c r="E747" s="4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40"/>
      <c r="E748" s="4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40"/>
      <c r="E749" s="4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40"/>
      <c r="E750" s="4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40"/>
      <c r="E751" s="4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40"/>
      <c r="E752" s="4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40"/>
      <c r="E753" s="4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40"/>
      <c r="E754" s="4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40"/>
      <c r="E755" s="4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40"/>
      <c r="E756" s="4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40"/>
      <c r="E757" s="4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40"/>
      <c r="E758" s="4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40"/>
      <c r="E759" s="4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40"/>
      <c r="E760" s="4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40"/>
      <c r="E761" s="4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40"/>
      <c r="E762" s="4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40"/>
      <c r="E763" s="4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40"/>
      <c r="E764" s="4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40"/>
      <c r="E765" s="4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40"/>
      <c r="E766" s="4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40"/>
      <c r="E767" s="4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40"/>
      <c r="E768" s="4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40"/>
      <c r="E769" s="4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40"/>
      <c r="E770" s="4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40"/>
      <c r="E771" s="4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40"/>
      <c r="E772" s="4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40"/>
      <c r="E773" s="4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40"/>
      <c r="E774" s="4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40"/>
      <c r="E775" s="4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40"/>
      <c r="E776" s="4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40"/>
      <c r="E777" s="4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40"/>
      <c r="E778" s="4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40"/>
      <c r="E779" s="4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40"/>
      <c r="E780" s="4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40"/>
      <c r="E781" s="4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40"/>
      <c r="E782" s="4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40"/>
      <c r="E783" s="4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40"/>
      <c r="E784" s="4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40"/>
      <c r="E785" s="4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40"/>
      <c r="E786" s="4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40"/>
      <c r="E787" s="4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40"/>
      <c r="E788" s="4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40"/>
      <c r="E789" s="4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40"/>
      <c r="E790" s="4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40"/>
      <c r="E791" s="4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40"/>
      <c r="E792" s="4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40"/>
      <c r="E793" s="4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40"/>
      <c r="E794" s="4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40"/>
      <c r="E795" s="4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40"/>
      <c r="E796" s="4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40"/>
      <c r="E797" s="4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40"/>
      <c r="E798" s="4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40"/>
      <c r="E799" s="4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40"/>
      <c r="E800" s="4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40"/>
      <c r="E801" s="4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40"/>
      <c r="E802" s="4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40"/>
      <c r="E803" s="4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40"/>
      <c r="E804" s="4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40"/>
      <c r="E805" s="4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40"/>
      <c r="E806" s="4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40"/>
      <c r="E807" s="4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40"/>
      <c r="E808" s="4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40"/>
      <c r="E809" s="4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40"/>
      <c r="E810" s="4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40"/>
      <c r="E811" s="4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40"/>
      <c r="E812" s="4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40"/>
      <c r="E813" s="4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40"/>
      <c r="E814" s="4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40"/>
      <c r="E815" s="4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40"/>
      <c r="E816" s="4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40"/>
      <c r="E817" s="4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40"/>
      <c r="E818" s="4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40"/>
      <c r="E819" s="4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40"/>
      <c r="E820" s="4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40"/>
      <c r="E821" s="4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40"/>
      <c r="E822" s="4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40"/>
      <c r="E823" s="4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40"/>
      <c r="E824" s="4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40"/>
      <c r="E825" s="4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40"/>
      <c r="E826" s="4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40"/>
      <c r="E827" s="4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40"/>
      <c r="E828" s="4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40"/>
      <c r="E829" s="4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40"/>
      <c r="E830" s="4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40"/>
      <c r="E831" s="4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40"/>
      <c r="E832" s="4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40"/>
      <c r="E833" s="4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40"/>
      <c r="E834" s="4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40"/>
      <c r="E835" s="4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40"/>
      <c r="E836" s="4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40"/>
      <c r="E837" s="4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40"/>
      <c r="E838" s="4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40"/>
      <c r="E839" s="4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40"/>
      <c r="E840" s="4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40"/>
      <c r="E841" s="4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40"/>
      <c r="E842" s="4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40"/>
      <c r="E843" s="4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40"/>
      <c r="E844" s="4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40"/>
      <c r="E845" s="4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40"/>
      <c r="E846" s="4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40"/>
      <c r="E847" s="4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40"/>
      <c r="E848" s="4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40"/>
      <c r="E849" s="4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40"/>
      <c r="E850" s="4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40"/>
      <c r="E851" s="4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40"/>
      <c r="E852" s="4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40"/>
      <c r="E853" s="4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40"/>
      <c r="E854" s="4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40"/>
      <c r="E855" s="4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40"/>
      <c r="E856" s="4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40"/>
      <c r="E857" s="4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40"/>
      <c r="E858" s="4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40"/>
      <c r="E859" s="4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40"/>
      <c r="E860" s="4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40"/>
      <c r="E861" s="4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40"/>
      <c r="E862" s="4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40"/>
      <c r="E863" s="4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40"/>
      <c r="E864" s="4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40"/>
      <c r="E865" s="4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40"/>
      <c r="E866" s="4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40"/>
      <c r="E867" s="4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40"/>
      <c r="E868" s="4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40"/>
      <c r="E869" s="4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40"/>
      <c r="E870" s="4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40"/>
      <c r="E871" s="4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40"/>
      <c r="E872" s="4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40"/>
      <c r="E873" s="4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40"/>
      <c r="E874" s="4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40"/>
      <c r="E875" s="4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40"/>
      <c r="E876" s="4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40"/>
      <c r="E877" s="4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40"/>
      <c r="E878" s="4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40"/>
      <c r="E879" s="4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40"/>
      <c r="E880" s="4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40"/>
      <c r="E881" s="4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40"/>
      <c r="E882" s="4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40"/>
      <c r="E883" s="4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40"/>
      <c r="E884" s="4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40"/>
      <c r="E885" s="4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40"/>
      <c r="E886" s="4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40"/>
      <c r="E887" s="4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40"/>
      <c r="E888" s="4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40"/>
      <c r="E889" s="4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40"/>
      <c r="E890" s="4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40"/>
      <c r="E891" s="4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40"/>
      <c r="E892" s="4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40"/>
      <c r="E893" s="4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40"/>
      <c r="E894" s="4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40"/>
      <c r="E895" s="4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40"/>
      <c r="E896" s="4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40"/>
      <c r="E897" s="4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40"/>
      <c r="E898" s="4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40"/>
      <c r="E899" s="4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40"/>
      <c r="E900" s="4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40"/>
      <c r="E901" s="4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40"/>
      <c r="E902" s="4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40"/>
      <c r="E903" s="4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40"/>
      <c r="E904" s="4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40"/>
      <c r="E905" s="4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40"/>
      <c r="E906" s="4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40"/>
      <c r="E907" s="4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40"/>
      <c r="E908" s="4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40"/>
      <c r="E909" s="4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40"/>
      <c r="E910" s="4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40"/>
      <c r="E911" s="4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40"/>
      <c r="E912" s="4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40"/>
      <c r="E913" s="4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40"/>
      <c r="E914" s="4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40"/>
      <c r="E915" s="4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40"/>
      <c r="E916" s="4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40"/>
      <c r="E917" s="4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40"/>
      <c r="E918" s="4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40"/>
      <c r="E919" s="4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40"/>
      <c r="E920" s="4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40"/>
      <c r="E921" s="4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40"/>
      <c r="E922" s="4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40"/>
      <c r="E923" s="4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40"/>
      <c r="E924" s="4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40"/>
      <c r="E925" s="4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40"/>
      <c r="E926" s="4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40"/>
      <c r="E927" s="4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40"/>
      <c r="E928" s="4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40"/>
      <c r="E929" s="4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40"/>
      <c r="E930" s="4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40"/>
      <c r="E931" s="4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40"/>
      <c r="E932" s="4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40"/>
      <c r="E933" s="4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40"/>
      <c r="E934" s="4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40"/>
      <c r="E935" s="4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40"/>
      <c r="E936" s="4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40"/>
      <c r="E937" s="4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40"/>
      <c r="E938" s="4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40"/>
      <c r="E939" s="4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40"/>
      <c r="E940" s="4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40"/>
      <c r="E941" s="4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40"/>
      <c r="E942" s="4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40"/>
      <c r="E943" s="4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40"/>
      <c r="E944" s="4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40"/>
      <c r="E945" s="4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40"/>
      <c r="E946" s="4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40"/>
      <c r="E947" s="4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40"/>
      <c r="E948" s="4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40"/>
      <c r="E949" s="4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40"/>
      <c r="E950" s="4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40"/>
      <c r="E951" s="4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40"/>
      <c r="E952" s="4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40"/>
      <c r="E953" s="4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40"/>
      <c r="E954" s="4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40"/>
      <c r="E955" s="4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40"/>
      <c r="E956" s="4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40"/>
      <c r="E957" s="4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40"/>
      <c r="E958" s="4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40"/>
      <c r="E959" s="4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40"/>
      <c r="E960" s="4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40"/>
      <c r="E961" s="4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40"/>
      <c r="E962" s="4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40"/>
      <c r="E963" s="4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40"/>
      <c r="E964" s="4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40"/>
      <c r="E965" s="4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40"/>
      <c r="E966" s="4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40"/>
      <c r="E967" s="4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40"/>
      <c r="E968" s="4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40"/>
      <c r="E969" s="4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40"/>
      <c r="E970" s="4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40"/>
      <c r="E971" s="4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40"/>
      <c r="E972" s="4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40"/>
      <c r="E973" s="4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40"/>
      <c r="E974" s="4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40"/>
      <c r="E975" s="4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40"/>
      <c r="E976" s="4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40"/>
      <c r="E977" s="4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40"/>
      <c r="E978" s="4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40"/>
      <c r="E979" s="4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40"/>
      <c r="E980" s="4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40"/>
      <c r="E981" s="4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40"/>
      <c r="E982" s="4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40"/>
      <c r="E983" s="4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40"/>
      <c r="E984" s="4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40"/>
      <c r="E985" s="4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40"/>
      <c r="E986" s="4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40"/>
      <c r="E987" s="4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40"/>
      <c r="E988" s="4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40"/>
      <c r="E989" s="4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40"/>
      <c r="E990" s="4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40"/>
      <c r="E991" s="4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40"/>
      <c r="E992" s="4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40"/>
      <c r="E993" s="4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40"/>
      <c r="E994" s="4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40"/>
      <c r="E995" s="40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40"/>
      <c r="E996" s="40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71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7">
        <v>2025.0</v>
      </c>
      <c r="B2" s="10" t="s">
        <v>12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0" t="s">
        <v>26</v>
      </c>
      <c r="N2" s="10" t="s">
        <v>27</v>
      </c>
    </row>
    <row r="3">
      <c r="A3" s="15" t="s">
        <v>28</v>
      </c>
      <c r="B3" s="16"/>
      <c r="C3" s="16"/>
      <c r="D3" s="16"/>
      <c r="E3" s="16"/>
      <c r="F3" s="16"/>
      <c r="G3" s="16"/>
      <c r="H3" s="16"/>
      <c r="I3" s="16"/>
      <c r="J3" s="16"/>
      <c r="K3" s="20">
        <v>8666.67</v>
      </c>
      <c r="L3" s="20">
        <v>47333.33</v>
      </c>
      <c r="M3" s="20">
        <v>20000.0</v>
      </c>
      <c r="N3" s="26">
        <f t="shared" ref="N3:N14" si="1">P3+ sum(I3:M3)</f>
        <v>76000</v>
      </c>
    </row>
    <row r="4">
      <c r="A4" s="15" t="s">
        <v>58</v>
      </c>
      <c r="B4" s="20">
        <v>662.01</v>
      </c>
      <c r="C4" s="20">
        <v>662.01</v>
      </c>
      <c r="D4" s="20">
        <v>1462.01</v>
      </c>
      <c r="E4" s="20">
        <v>1571.9</v>
      </c>
      <c r="F4" s="20">
        <v>4826.05</v>
      </c>
      <c r="G4" s="20">
        <v>13961.43</v>
      </c>
      <c r="H4" s="20">
        <v>21756.18</v>
      </c>
      <c r="I4" s="20">
        <v>23158.7</v>
      </c>
      <c r="J4" s="20">
        <v>29075.59</v>
      </c>
      <c r="K4" s="20">
        <v>142.21000000000004</v>
      </c>
      <c r="L4" s="20">
        <v>23423.07</v>
      </c>
      <c r="M4" s="20">
        <v>6661.52</v>
      </c>
      <c r="N4" s="26">
        <f t="shared" si="1"/>
        <v>82461.09</v>
      </c>
    </row>
    <row r="5">
      <c r="A5" s="15" t="s">
        <v>64</v>
      </c>
      <c r="B5" s="20">
        <v>19089.66</v>
      </c>
      <c r="C5" s="20">
        <v>26961.96</v>
      </c>
      <c r="D5" s="20">
        <v>20308.64</v>
      </c>
      <c r="E5" s="20">
        <v>18387.42</v>
      </c>
      <c r="F5" s="20">
        <v>30858.3</v>
      </c>
      <c r="G5" s="20">
        <v>4323.36</v>
      </c>
      <c r="H5" s="20">
        <v>14177.86</v>
      </c>
      <c r="I5" s="20">
        <v>8786.1</v>
      </c>
      <c r="J5" s="20">
        <v>12814.72</v>
      </c>
      <c r="K5" s="20">
        <v>27916.79</v>
      </c>
      <c r="L5" s="20">
        <v>63228.51</v>
      </c>
      <c r="M5" s="20">
        <v>30271.27</v>
      </c>
      <c r="N5" s="26">
        <f t="shared" si="1"/>
        <v>143017.39</v>
      </c>
    </row>
    <row r="6">
      <c r="A6" s="15" t="s">
        <v>67</v>
      </c>
      <c r="B6" s="16"/>
      <c r="C6" s="16"/>
      <c r="D6" s="16"/>
      <c r="E6" s="16"/>
      <c r="F6" s="20">
        <v>881.36</v>
      </c>
      <c r="G6" s="20">
        <v>992.5</v>
      </c>
      <c r="H6" s="20">
        <v>128.86</v>
      </c>
      <c r="I6" s="20">
        <v>1664.13</v>
      </c>
      <c r="J6" s="16"/>
      <c r="K6" s="20">
        <v>4064.13</v>
      </c>
      <c r="L6" s="20">
        <v>4604.9</v>
      </c>
      <c r="M6" s="20">
        <v>4719.41</v>
      </c>
      <c r="N6" s="26">
        <f t="shared" si="1"/>
        <v>15052.57</v>
      </c>
    </row>
    <row r="7">
      <c r="A7" s="15" t="s">
        <v>69</v>
      </c>
      <c r="B7" s="16"/>
      <c r="C7" s="16"/>
      <c r="D7" s="16"/>
      <c r="E7" s="20">
        <v>5775.51</v>
      </c>
      <c r="F7" s="20">
        <v>12262.65</v>
      </c>
      <c r="G7" s="20">
        <v>8082.12</v>
      </c>
      <c r="H7" s="20">
        <v>6664.04</v>
      </c>
      <c r="I7" s="16"/>
      <c r="J7" s="20">
        <v>2657.15</v>
      </c>
      <c r="K7" s="20">
        <v>13146.7</v>
      </c>
      <c r="L7" s="20">
        <v>54437.32</v>
      </c>
      <c r="M7" s="20">
        <v>30524.26</v>
      </c>
      <c r="N7" s="26">
        <f t="shared" si="1"/>
        <v>100765.43</v>
      </c>
    </row>
    <row r="8">
      <c r="A8" s="15" t="s">
        <v>73</v>
      </c>
      <c r="B8" s="20">
        <v>34083.39</v>
      </c>
      <c r="C8" s="20">
        <v>34351.25</v>
      </c>
      <c r="D8" s="20">
        <v>44218.94</v>
      </c>
      <c r="E8" s="20">
        <v>33338.14</v>
      </c>
      <c r="F8" s="20">
        <v>12851.83</v>
      </c>
      <c r="G8" s="20">
        <v>17636.73</v>
      </c>
      <c r="H8" s="20">
        <v>13487.06</v>
      </c>
      <c r="I8" s="20">
        <v>13493.34</v>
      </c>
      <c r="J8" s="20">
        <v>16878.07</v>
      </c>
      <c r="K8" s="20">
        <v>48507.47</v>
      </c>
      <c r="L8" s="20">
        <v>27551.01</v>
      </c>
      <c r="M8" s="20">
        <v>30457.68</v>
      </c>
      <c r="N8" s="26">
        <f t="shared" si="1"/>
        <v>136887.57</v>
      </c>
    </row>
    <row r="9">
      <c r="A9" s="15" t="s">
        <v>74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26">
        <f t="shared" si="1"/>
        <v>0</v>
      </c>
    </row>
    <row r="10">
      <c r="A10" s="15" t="s">
        <v>75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26">
        <f t="shared" si="1"/>
        <v>0</v>
      </c>
    </row>
    <row r="11">
      <c r="A11" s="15" t="s">
        <v>76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6">
        <f t="shared" si="1"/>
        <v>0</v>
      </c>
    </row>
    <row r="12">
      <c r="A12" s="15" t="s">
        <v>77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26">
        <f t="shared" si="1"/>
        <v>0</v>
      </c>
    </row>
    <row r="13">
      <c r="A13" s="15" t="s">
        <v>79</v>
      </c>
      <c r="B13" s="16"/>
      <c r="C13" s="16"/>
      <c r="D13" s="16"/>
      <c r="E13" s="16"/>
      <c r="F13" s="20">
        <v>8924.0</v>
      </c>
      <c r="G13" s="20">
        <v>8633.0</v>
      </c>
      <c r="H13" s="20">
        <v>28630.0</v>
      </c>
      <c r="I13" s="20">
        <v>42856.0</v>
      </c>
      <c r="J13" s="16"/>
      <c r="K13" s="20">
        <v>28087.0</v>
      </c>
      <c r="L13" s="16"/>
      <c r="M13" s="16"/>
      <c r="N13" s="26">
        <f t="shared" si="1"/>
        <v>70943</v>
      </c>
    </row>
    <row r="14">
      <c r="A14" s="38" t="s">
        <v>27</v>
      </c>
      <c r="B14" s="41">
        <f t="shared" ref="B14:M14" si="2">sum(B3:B13)</f>
        <v>53835.06</v>
      </c>
      <c r="C14" s="41">
        <f t="shared" si="2"/>
        <v>61975.22</v>
      </c>
      <c r="D14" s="41">
        <f t="shared" si="2"/>
        <v>65989.59</v>
      </c>
      <c r="E14" s="41">
        <f t="shared" si="2"/>
        <v>59072.97</v>
      </c>
      <c r="F14" s="41">
        <f t="shared" si="2"/>
        <v>70604.19</v>
      </c>
      <c r="G14" s="41">
        <f t="shared" si="2"/>
        <v>53629.14</v>
      </c>
      <c r="H14" s="41">
        <f t="shared" si="2"/>
        <v>84844</v>
      </c>
      <c r="I14" s="41">
        <f t="shared" si="2"/>
        <v>89958.27</v>
      </c>
      <c r="J14" s="41">
        <f t="shared" si="2"/>
        <v>61425.53</v>
      </c>
      <c r="K14" s="41">
        <f t="shared" si="2"/>
        <v>130530.97</v>
      </c>
      <c r="L14" s="41">
        <f t="shared" si="2"/>
        <v>220578.14</v>
      </c>
      <c r="M14" s="41">
        <f t="shared" si="2"/>
        <v>122634.14</v>
      </c>
      <c r="N14" s="44">
        <f t="shared" si="1"/>
        <v>625127.05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14"/>
    <col customWidth="1" min="2" max="2" width="11.43"/>
    <col customWidth="1" min="3" max="3" width="16.86"/>
    <col customWidth="1" min="4" max="5" width="19.86"/>
    <col customWidth="1" min="6" max="6" width="16.29"/>
    <col customWidth="1" min="7" max="7" width="10.71"/>
    <col customWidth="1" min="8" max="8" width="12.29"/>
    <col customWidth="1" min="9" max="9" width="9.14"/>
    <col customWidth="1" min="10" max="10" width="15.14"/>
    <col customWidth="1" min="11" max="11" width="11.0"/>
    <col customWidth="1" min="12" max="12" width="24.71"/>
    <col customWidth="1" min="13" max="13" width="26.0"/>
    <col customWidth="1" min="14" max="14" width="23.43"/>
    <col customWidth="1" min="15" max="15" width="22.29"/>
    <col customWidth="1" min="16" max="17" width="18.0"/>
    <col customWidth="1" min="18" max="18" width="11.43"/>
    <col customWidth="1" min="19" max="19" width="12.43"/>
    <col customWidth="1" min="20" max="20" width="10.29"/>
    <col customWidth="1" min="21" max="23" width="8.86"/>
    <col customWidth="1" min="24" max="24" width="12.14"/>
    <col customWidth="1" min="25" max="25" width="13.43"/>
    <col customWidth="1" min="26" max="26" width="11.0"/>
    <col customWidth="1" min="27" max="27" width="9.71"/>
    <col customWidth="1" min="28" max="28" width="9.29"/>
    <col customWidth="1" min="29" max="29" width="9.57"/>
    <col customWidth="1" min="30" max="30" width="8.86"/>
    <col customWidth="1" min="31" max="31" width="16.86"/>
    <col customWidth="1" min="32" max="32" width="9.0"/>
    <col customWidth="1" min="33" max="33" width="9.43"/>
    <col customWidth="1" min="34" max="34" width="9.71"/>
    <col customWidth="1" min="35" max="35" width="9.29"/>
    <col customWidth="1" min="36" max="36" width="10.43"/>
    <col customWidth="1" min="37" max="37" width="10.71"/>
    <col customWidth="1" min="38" max="38" width="9.57"/>
    <col customWidth="1" min="39" max="40" width="8.86"/>
    <col customWidth="1" min="41" max="41" width="23.43"/>
    <col customWidth="1" min="42" max="42" width="22.14"/>
    <col customWidth="1" min="43" max="43" width="23.29"/>
    <col customWidth="1" min="44" max="44" width="20.86"/>
    <col customWidth="1" min="45" max="45" width="19.57"/>
    <col customWidth="1" min="46" max="46" width="19.14"/>
    <col customWidth="1" min="47" max="47" width="19.43"/>
    <col customWidth="1" min="48" max="48" width="25.86"/>
    <col customWidth="1" min="49" max="50" width="8.86"/>
    <col customWidth="1" min="51" max="51" width="23.43"/>
    <col customWidth="1" min="52" max="52" width="15.43"/>
    <col customWidth="1" min="53" max="53" width="14.57"/>
    <col customWidth="1" min="54" max="54" width="12.14"/>
    <col customWidth="1" min="55" max="55" width="10.86"/>
    <col customWidth="1" min="56" max="56" width="10.43"/>
    <col customWidth="1" min="57" max="57" width="10.71"/>
    <col customWidth="1" min="58" max="59" width="8.86"/>
    <col customWidth="1" min="60" max="60" width="22.0"/>
    <col customWidth="1" min="61" max="61" width="12.14"/>
    <col customWidth="1" min="62" max="62" width="13.43"/>
    <col customWidth="1" min="63" max="70" width="8.86"/>
    <col customWidth="1" min="71" max="71" width="18.86"/>
    <col customWidth="1" min="72" max="72" width="22.14"/>
    <col customWidth="1" min="73" max="73" width="23.29"/>
    <col customWidth="1" min="74" max="74" width="20.86"/>
    <col customWidth="1" min="75" max="75" width="19.57"/>
    <col customWidth="1" min="76" max="76" width="19.14"/>
    <col customWidth="1" min="77" max="77" width="19.43"/>
    <col customWidth="1" min="78" max="78" width="19.71"/>
    <col customWidth="1" min="79" max="79" width="20.86"/>
    <col customWidth="1" min="80" max="80" width="18.57"/>
    <col customWidth="1" min="81" max="81" width="17.29"/>
    <col customWidth="1" min="82" max="82" width="16.71"/>
    <col customWidth="1" min="83" max="83" width="17.0"/>
    <col customWidth="1" min="84" max="84" width="9.0"/>
    <col customWidth="1" min="85" max="88" width="9.86"/>
    <col customWidth="1" min="89" max="89" width="9.0"/>
  </cols>
  <sheetData>
    <row r="1" ht="18.0" customHeight="1">
      <c r="A1" s="2" t="s">
        <v>0</v>
      </c>
      <c r="B1" s="2" t="s">
        <v>1</v>
      </c>
      <c r="C1" s="2" t="s">
        <v>2</v>
      </c>
      <c r="D1" s="4" t="s">
        <v>0</v>
      </c>
      <c r="E1" s="4" t="s">
        <v>3</v>
      </c>
      <c r="F1" s="2" t="s">
        <v>4</v>
      </c>
      <c r="G1" s="2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17" t="s">
        <v>30</v>
      </c>
      <c r="M1" s="17" t="s">
        <v>32</v>
      </c>
      <c r="N1" s="17" t="s">
        <v>33</v>
      </c>
      <c r="O1" s="17" t="s">
        <v>34</v>
      </c>
      <c r="P1" s="17" t="s">
        <v>35</v>
      </c>
      <c r="Q1" s="19" t="s">
        <v>36</v>
      </c>
      <c r="R1" s="19" t="s">
        <v>37</v>
      </c>
      <c r="S1" s="19" t="s">
        <v>38</v>
      </c>
      <c r="T1" s="19" t="s">
        <v>40</v>
      </c>
      <c r="U1" s="19" t="s">
        <v>41</v>
      </c>
      <c r="V1" s="19" t="s">
        <v>42</v>
      </c>
      <c r="W1" s="21" t="s">
        <v>44</v>
      </c>
      <c r="X1" s="19" t="s">
        <v>46</v>
      </c>
      <c r="Y1" s="19" t="s">
        <v>48</v>
      </c>
      <c r="Z1" s="19" t="s">
        <v>49</v>
      </c>
      <c r="AA1" s="19" t="s">
        <v>50</v>
      </c>
      <c r="AB1" s="19" t="s">
        <v>51</v>
      </c>
      <c r="AC1" s="21" t="s">
        <v>53</v>
      </c>
      <c r="AF1" s="22"/>
      <c r="AG1" s="22"/>
      <c r="AH1" s="22"/>
      <c r="AI1" s="22"/>
      <c r="AJ1" s="22"/>
      <c r="AK1" s="23"/>
      <c r="AN1" s="24"/>
      <c r="AO1" s="24"/>
      <c r="AX1" s="25"/>
      <c r="BR1" s="25"/>
      <c r="CF1" s="27"/>
      <c r="CG1" s="27"/>
      <c r="CH1" s="27"/>
      <c r="CI1" s="27"/>
      <c r="CJ1" s="27"/>
      <c r="CK1" s="27"/>
    </row>
    <row r="2" ht="18.0" customHeight="1">
      <c r="A2" s="30" t="str">
        <f>Data2026!A8</f>
        <v>BestCryptoCasino</v>
      </c>
      <c r="B2" s="9">
        <f>Data2026!B8</f>
        <v>46038</v>
      </c>
      <c r="C2" s="11" t="str">
        <f>Data2026!C8</f>
        <v>Listing</v>
      </c>
      <c r="D2" s="12" t="str">
        <f>Data2026!D8</f>
        <v>BestCryptoCasino</v>
      </c>
      <c r="E2" s="12" t="str">
        <f>Data2026!E8</f>
        <v>Elene_Gh</v>
      </c>
      <c r="F2" s="9">
        <f>Data2026!F8</f>
        <v>46038</v>
      </c>
      <c r="G2" s="11">
        <f>Data2026!G8</f>
        <v>600</v>
      </c>
      <c r="H2" s="30" t="str">
        <f>Data2026!H8</f>
        <v>Finished</v>
      </c>
      <c r="I2" s="30" t="str">
        <f>Data2026!I8</f>
        <v>SEO</v>
      </c>
      <c r="J2" s="9">
        <f>Data2026!J8</f>
        <v>46038</v>
      </c>
      <c r="K2" s="9">
        <f>Data2026!K8</f>
        <v>46068</v>
      </c>
      <c r="L2" s="43">
        <f t="shared" ref="L2:L141" si="2">IF(OR($J2="",$K2="",$G2=""),0,IF($K2&lt;=$J2,IF(AND($J2&gt;=DATE(2026,1,1),$J2&lt;EDATE(DATE(2026,1,1),1),TODAY()&gt;=$J2),$G2,0),MAX(0,MIN(IF(TODAY()&gt;$K2,$K2,TODAY()),EDATE(DATE(2026,1,1),1))-MAX($J2,DATE(2026,1,1)))*$G2/($K2-$J2)))</f>
        <v>320</v>
      </c>
      <c r="M2" s="43">
        <f t="shared" ref="M2:M141" si="3">IF(OR($J2="",$K2="",$G2=""),0,IF($K2&lt;=$J2,IF(AND($J2&gt;=DATE(2026,2,1),$J2&lt;EDATE(DATE(2026,2,1),1),TODAY()&gt;=$J2),$G2,0),MAX(0,MIN(IF(TODAY()&gt;$K2,$K2,TODAY()),EDATE(DATE(2026,2,1),1))-MAX($J2,DATE(2026,2,1)))*$G2/($K2-$J2)))</f>
        <v>280</v>
      </c>
      <c r="N2" s="43">
        <f t="shared" ref="N2:N141" si="4">IF(OR($J2="",$K2="",$G2=""),0,IF($K2&lt;=$J2,IF(AND($J2&gt;=DATE(2026,3,1),$J2&lt;EDATE(DATE(2026,3,1),1),TODAY()&gt;=$J2),$G2,0),MAX(0,MIN(IF(TODAY()&gt;$K2,$K2,TODAY()),EDATE(DATE(2026,3,1),1))-MAX($J2,DATE(2026,3,1)))*$G2/($K2-$J2)))</f>
        <v>0</v>
      </c>
      <c r="O2" s="43">
        <f t="shared" ref="O2:O141" si="5">IF(OR($J2="",$K2="",$G2=""),0,IF($K2&lt;=$J2,IF(AND($J2&gt;=DATE(2026,4,1),$J2&lt;EDATE(DATE(2026,4,1),1),TODAY()&gt;=$J2),$G2,0),MAX(0,MIN(IF(TODAY()&gt;$K2,$K2,TODAY()),EDATE(DATE(2026,4,1),1))-MAX($J2,DATE(2026,4,1)))*$G2/($K2-$J2)))</f>
        <v>0</v>
      </c>
      <c r="P2" s="43">
        <f t="shared" ref="P2:P141" si="6">IF(OR($J2="",$K2="",$G2=""),0,IF($K2&lt;=$J2,IF(AND($J2&gt;=DATE(2026,5,1),$J2&lt;EDATE(DATE(2026,5,1),1),TODAY()&gt;=$J2),$G2,0),MAX(0,MIN(IF(TODAY()&gt;$K2,$K2,TODAY()),EDATE(DATE(2026,5,1),1))-MAX($J2,DATE(2026,5,1)))*$G2/($K2-$J2)))</f>
        <v>0</v>
      </c>
      <c r="Q2" s="43">
        <f t="shared" ref="Q2:Q141" si="7">IF(OR($J2="",$K2="",$G2=""),0,IF($K2&lt;=$J2,IF(AND($J2&gt;=DATE(2026,6,1),$J2&lt;EDATE(DATE(2026,5,1),1),TODAY()&gt;=$J2),$G2,0),MAX(0,MIN(IF(TODAY()&gt;$K2,$K2,TODAY()),EDATE(DATE(2026,6,1),1))-MAX($J2,DATE(2026,6,1)))*$G2/($K2-$J2)))</f>
        <v>0</v>
      </c>
      <c r="R2" s="49" t="str">
        <f t="shared" ref="R2:W2" si="1">SUMIF(Tableau!$A:$A,$A2,Tableau!E:E)</f>
        <v>#N/A</v>
      </c>
      <c r="S2" s="49" t="str">
        <f t="shared" si="1"/>
        <v>#N/A</v>
      </c>
      <c r="T2" s="49" t="str">
        <f t="shared" si="1"/>
        <v>#N/A</v>
      </c>
      <c r="U2" s="49" t="str">
        <f t="shared" si="1"/>
        <v>#N/A</v>
      </c>
      <c r="V2" s="49" t="str">
        <f t="shared" si="1"/>
        <v>#N/A</v>
      </c>
      <c r="W2" s="49" t="str">
        <f t="shared" si="1"/>
        <v>#N/A</v>
      </c>
      <c r="AL2" s="56" t="s">
        <v>27</v>
      </c>
      <c r="AN2" s="24"/>
      <c r="AV2" s="56" t="s">
        <v>27</v>
      </c>
      <c r="AX2" s="25"/>
      <c r="BR2" s="25"/>
      <c r="CF2" s="27"/>
      <c r="CG2" s="27"/>
      <c r="CH2" s="27"/>
      <c r="CI2" s="27"/>
      <c r="CJ2" s="27"/>
      <c r="CK2" s="27"/>
    </row>
    <row r="3" ht="18.0" customHeight="1">
      <c r="A3" s="30" t="str">
        <f>Data2026!A9</f>
        <v>SBGC</v>
      </c>
      <c r="B3" s="9">
        <f>Data2026!B9</f>
        <v>46053</v>
      </c>
      <c r="C3" s="11" t="str">
        <f>Data2026!C9</f>
        <v>Listing</v>
      </c>
      <c r="D3" s="12" t="str">
        <f>Data2026!D9</f>
        <v>SBGC</v>
      </c>
      <c r="E3" s="12" t="str">
        <f>Data2026!E9</f>
        <v>Ani_S</v>
      </c>
      <c r="F3" s="9">
        <f>Data2026!F9</f>
        <v>46053</v>
      </c>
      <c r="G3" s="31">
        <f>Data2026!G9</f>
        <v>5870</v>
      </c>
      <c r="H3" s="30" t="str">
        <f>Data2026!H9</f>
        <v>Finished</v>
      </c>
      <c r="I3" s="30" t="str">
        <f>Data2026!I9</f>
        <v>SEO</v>
      </c>
      <c r="J3" s="9">
        <f>Data2026!J9</f>
        <v>46023</v>
      </c>
      <c r="K3" s="9">
        <f>Data2026!K9</f>
        <v>46053</v>
      </c>
      <c r="L3" s="43">
        <f t="shared" si="2"/>
        <v>5870</v>
      </c>
      <c r="M3" s="43">
        <f t="shared" si="3"/>
        <v>0</v>
      </c>
      <c r="N3" s="43">
        <f t="shared" si="4"/>
        <v>0</v>
      </c>
      <c r="O3" s="43">
        <f t="shared" si="5"/>
        <v>0</v>
      </c>
      <c r="P3" s="43">
        <f t="shared" si="6"/>
        <v>0</v>
      </c>
      <c r="Q3" s="43">
        <f t="shared" si="7"/>
        <v>0</v>
      </c>
      <c r="R3" s="49" t="str">
        <f t="shared" ref="R3:S3" si="8">SUMIF(Tableau!$A:$A,$A3,Tableau!E:E)</f>
        <v>#N/A</v>
      </c>
      <c r="S3" s="49" t="str">
        <f t="shared" si="8"/>
        <v>#N/A</v>
      </c>
      <c r="W3" s="49" t="str">
        <f>SUMIF(Tableau!$A:$A,$A3,Tableau!J:J)</f>
        <v>#N/A</v>
      </c>
      <c r="X3" s="49" t="str">
        <f t="shared" ref="X3:AC3" si="9">SUMIF(Tableau!$A:$A,$A3,Tableau!P:P)</f>
        <v>#N/A</v>
      </c>
      <c r="Y3" s="49" t="str">
        <f t="shared" si="9"/>
        <v>#N/A</v>
      </c>
      <c r="Z3" s="49" t="str">
        <f t="shared" si="9"/>
        <v>#N/A</v>
      </c>
      <c r="AA3" s="49" t="str">
        <f t="shared" si="9"/>
        <v>#N/A</v>
      </c>
      <c r="AB3" s="49" t="str">
        <f t="shared" si="9"/>
        <v>#N/A</v>
      </c>
      <c r="AC3" s="49" t="str">
        <f t="shared" si="9"/>
        <v>#N/A</v>
      </c>
      <c r="AL3" s="22" t="str">
        <f>SUM(AF3:AK3)</f>
        <v>#REF!</v>
      </c>
      <c r="AN3" s="24"/>
      <c r="AV3" s="22" t="str">
        <f t="shared" ref="AV3:AV10" si="12">SUM(AP3:AU3)</f>
        <v>#N/A</v>
      </c>
      <c r="AX3" s="25"/>
      <c r="BR3" s="25"/>
      <c r="BS3" s="22"/>
      <c r="BT3" s="22"/>
      <c r="CF3" s="27"/>
      <c r="CG3" s="27"/>
      <c r="CH3" s="27"/>
      <c r="CI3" s="27"/>
      <c r="CJ3" s="27"/>
      <c r="CK3" s="27"/>
    </row>
    <row r="4" ht="18.0" customHeight="1">
      <c r="A4" s="30" t="str">
        <f>Data2026!A10</f>
        <v>Coincodex</v>
      </c>
      <c r="B4" s="9">
        <f>Data2026!B10</f>
        <v>46053</v>
      </c>
      <c r="C4" s="11" t="str">
        <f>Data2026!C10</f>
        <v>Listing</v>
      </c>
      <c r="D4" s="12" t="str">
        <f>Data2026!D10</f>
        <v>Coincodex</v>
      </c>
      <c r="E4" s="12" t="str">
        <f>Data2026!E10</f>
        <v>Nugi</v>
      </c>
      <c r="F4" s="9">
        <f>Data2026!F10</f>
        <v>46053</v>
      </c>
      <c r="G4" s="31">
        <f>Data2026!G10</f>
        <v>4193</v>
      </c>
      <c r="H4" s="30" t="str">
        <f>Data2026!H10</f>
        <v>Finished</v>
      </c>
      <c r="I4" s="30" t="str">
        <f>Data2026!I10</f>
        <v>SEO</v>
      </c>
      <c r="J4" s="9">
        <f>Data2026!J10</f>
        <v>46053</v>
      </c>
      <c r="K4" s="9">
        <f>Data2026!K10</f>
        <v>46083</v>
      </c>
      <c r="L4" s="43">
        <f t="shared" si="2"/>
        <v>139.7666667</v>
      </c>
      <c r="M4" s="43">
        <f t="shared" si="3"/>
        <v>3913.466667</v>
      </c>
      <c r="N4" s="43">
        <f t="shared" si="4"/>
        <v>139.7666667</v>
      </c>
      <c r="O4" s="43">
        <f t="shared" si="5"/>
        <v>0</v>
      </c>
      <c r="P4" s="43">
        <f t="shared" si="6"/>
        <v>0</v>
      </c>
      <c r="Q4" s="43">
        <f t="shared" si="7"/>
        <v>0</v>
      </c>
      <c r="R4" s="49" t="str">
        <f t="shared" ref="R4:W4" si="10">SUMIF(Tableau!$A:$A,$A4,Tableau!E:E)</f>
        <v>#N/A</v>
      </c>
      <c r="S4" s="49" t="str">
        <f t="shared" si="10"/>
        <v>#N/A</v>
      </c>
      <c r="T4" s="49" t="str">
        <f t="shared" si="10"/>
        <v>#N/A</v>
      </c>
      <c r="U4" s="49" t="str">
        <f t="shared" si="10"/>
        <v>#N/A</v>
      </c>
      <c r="V4" s="49" t="str">
        <f t="shared" si="10"/>
        <v>#N/A</v>
      </c>
      <c r="W4" s="49" t="str">
        <f t="shared" si="10"/>
        <v>#N/A</v>
      </c>
      <c r="X4" s="49" t="str">
        <f t="shared" ref="X4:AC4" si="11">SUMIF(Tableau!$A:$A,$A4,Tableau!P:P)</f>
        <v>#N/A</v>
      </c>
      <c r="Y4" s="49" t="str">
        <f t="shared" si="11"/>
        <v>#N/A</v>
      </c>
      <c r="Z4" s="49" t="str">
        <f t="shared" si="11"/>
        <v>#N/A</v>
      </c>
      <c r="AA4" s="49" t="str">
        <f t="shared" si="11"/>
        <v>#N/A</v>
      </c>
      <c r="AB4" s="49" t="str">
        <f t="shared" si="11"/>
        <v>#N/A</v>
      </c>
      <c r="AC4" s="49" t="str">
        <f t="shared" si="11"/>
        <v>#N/A</v>
      </c>
      <c r="AL4" s="56" t="s">
        <v>27</v>
      </c>
      <c r="AN4" s="24"/>
      <c r="AV4" s="22" t="str">
        <f t="shared" si="12"/>
        <v>#N/A</v>
      </c>
      <c r="AX4" s="25"/>
      <c r="BR4" s="25"/>
      <c r="BS4" s="24"/>
      <c r="CF4" s="27"/>
      <c r="CG4" s="27"/>
      <c r="CH4" s="27"/>
      <c r="CI4" s="27"/>
      <c r="CJ4" s="27"/>
      <c r="CK4" s="27"/>
    </row>
    <row r="5" ht="18.0" customHeight="1">
      <c r="A5" s="30" t="str">
        <f>Data2026!A11</f>
        <v>toprangemain</v>
      </c>
      <c r="B5" s="9">
        <f>Data2026!B11</f>
        <v>46077</v>
      </c>
      <c r="C5" s="11" t="str">
        <f>Data2026!C11</f>
        <v>Fixed</v>
      </c>
      <c r="D5" s="12" t="str">
        <f>Data2026!D11</f>
        <v>toprangemain</v>
      </c>
      <c r="E5" s="12" t="str">
        <f>Data2026!E11</f>
        <v>Nugi</v>
      </c>
      <c r="F5" s="9">
        <f>Data2026!F11</f>
        <v>46077</v>
      </c>
      <c r="G5" s="70">
        <f>Data2026!G11</f>
        <v>2500</v>
      </c>
      <c r="H5" s="30" t="str">
        <f>Data2026!H11</f>
        <v>Finished</v>
      </c>
      <c r="I5" s="30" t="str">
        <f>Data2026!I11</f>
        <v>Meta</v>
      </c>
      <c r="J5" s="9">
        <f>Data2026!J11</f>
        <v>46077</v>
      </c>
      <c r="K5" s="9">
        <f>Data2026!K11</f>
        <v>46107</v>
      </c>
      <c r="L5" s="43">
        <f t="shared" si="2"/>
        <v>0</v>
      </c>
      <c r="M5" s="43">
        <f t="shared" si="3"/>
        <v>416.6666667</v>
      </c>
      <c r="N5" s="43">
        <f t="shared" si="4"/>
        <v>2083.333333</v>
      </c>
      <c r="O5" s="43">
        <f t="shared" si="5"/>
        <v>0</v>
      </c>
      <c r="P5" s="43">
        <f t="shared" si="6"/>
        <v>0</v>
      </c>
      <c r="Q5" s="43">
        <f t="shared" si="7"/>
        <v>0</v>
      </c>
      <c r="R5" s="49" t="str">
        <f t="shared" ref="R5:W5" si="13">SUMIF(Tableau!$A:$A,$A5,Tableau!E:E)</f>
        <v>#N/A</v>
      </c>
      <c r="S5" s="49" t="str">
        <f t="shared" si="13"/>
        <v>#N/A</v>
      </c>
      <c r="T5" s="49" t="str">
        <f t="shared" si="13"/>
        <v>#N/A</v>
      </c>
      <c r="U5" s="49" t="str">
        <f t="shared" si="13"/>
        <v>#N/A</v>
      </c>
      <c r="V5" s="49" t="str">
        <f t="shared" si="13"/>
        <v>#N/A</v>
      </c>
      <c r="W5" s="49" t="str">
        <f t="shared" si="13"/>
        <v>#N/A</v>
      </c>
      <c r="X5" s="49" t="str">
        <f t="shared" ref="X5:AC5" si="14">SUMIF(Tableau!$A:$A,$A5,Tableau!P:P)</f>
        <v>#N/A</v>
      </c>
      <c r="Y5" s="49" t="str">
        <f t="shared" si="14"/>
        <v>#N/A</v>
      </c>
      <c r="Z5" s="49" t="str">
        <f t="shared" si="14"/>
        <v>#N/A</v>
      </c>
      <c r="AA5" s="49" t="str">
        <f t="shared" si="14"/>
        <v>#N/A</v>
      </c>
      <c r="AB5" s="49" t="str">
        <f t="shared" si="14"/>
        <v>#N/A</v>
      </c>
      <c r="AC5" s="49" t="str">
        <f t="shared" si="14"/>
        <v>#N/A</v>
      </c>
      <c r="AL5" s="22" t="str">
        <f>SUM(AF5:AK5)</f>
        <v>#N/A</v>
      </c>
      <c r="AN5" s="24"/>
      <c r="AV5" s="22" t="str">
        <f t="shared" si="12"/>
        <v>#N/A</v>
      </c>
      <c r="AX5" s="25"/>
      <c r="BR5" s="25"/>
      <c r="CF5" s="77" t="s">
        <v>246</v>
      </c>
      <c r="CG5" s="77" t="s">
        <v>247</v>
      </c>
      <c r="CH5" s="77" t="s">
        <v>248</v>
      </c>
      <c r="CI5" s="77" t="s">
        <v>249</v>
      </c>
      <c r="CJ5" s="77" t="s">
        <v>250</v>
      </c>
      <c r="CK5" s="77" t="s">
        <v>251</v>
      </c>
    </row>
    <row r="6" ht="18.0" customHeight="1">
      <c r="A6" s="30" t="str">
        <f>Data2026!A12</f>
        <v>toprangemain</v>
      </c>
      <c r="B6" s="9">
        <f>Data2026!B12</f>
        <v>46077</v>
      </c>
      <c r="C6" s="11" t="str">
        <f>Data2026!C12</f>
        <v>Fixed</v>
      </c>
      <c r="D6" s="12" t="str">
        <f>Data2026!D12</f>
        <v>toprangemain</v>
      </c>
      <c r="E6" s="12" t="str">
        <f>Data2026!E12</f>
        <v>Nini_B</v>
      </c>
      <c r="F6" s="9">
        <f>Data2026!F12</f>
        <v>46077</v>
      </c>
      <c r="G6" s="70">
        <f>Data2026!G12</f>
        <v>2500</v>
      </c>
      <c r="H6" s="30" t="str">
        <f>Data2026!H12</f>
        <v>Finished</v>
      </c>
      <c r="I6" s="30" t="str">
        <f>Data2026!I12</f>
        <v>Meta</v>
      </c>
      <c r="J6" s="9">
        <f>Data2026!J12</f>
        <v>46077</v>
      </c>
      <c r="K6" s="9">
        <f>Data2026!K12</f>
        <v>46107</v>
      </c>
      <c r="L6" s="43">
        <f t="shared" si="2"/>
        <v>0</v>
      </c>
      <c r="M6" s="43">
        <f t="shared" si="3"/>
        <v>416.6666667</v>
      </c>
      <c r="N6" s="43">
        <f t="shared" si="4"/>
        <v>2083.333333</v>
      </c>
      <c r="O6" s="43">
        <f t="shared" si="5"/>
        <v>0</v>
      </c>
      <c r="P6" s="43">
        <f t="shared" si="6"/>
        <v>0</v>
      </c>
      <c r="Q6" s="43">
        <f t="shared" si="7"/>
        <v>0</v>
      </c>
      <c r="W6" s="49" t="str">
        <f>SUMIF(Tableau!$A:$A,$A6,Tableau!J:J)</f>
        <v>#N/A</v>
      </c>
      <c r="X6" s="49" t="str">
        <f t="shared" ref="X6:AC6" si="15">SUMIF(Tableau!$A:$A,$A6,Tableau!P:P)</f>
        <v>#N/A</v>
      </c>
      <c r="Y6" s="49" t="str">
        <f t="shared" si="15"/>
        <v>#N/A</v>
      </c>
      <c r="Z6" s="49" t="str">
        <f t="shared" si="15"/>
        <v>#N/A</v>
      </c>
      <c r="AA6" s="49" t="str">
        <f t="shared" si="15"/>
        <v>#N/A</v>
      </c>
      <c r="AB6" s="49" t="str">
        <f t="shared" si="15"/>
        <v>#N/A</v>
      </c>
      <c r="AC6" s="49" t="str">
        <f t="shared" si="15"/>
        <v>#N/A</v>
      </c>
      <c r="AF6" s="56" t="s">
        <v>264</v>
      </c>
      <c r="AG6" s="56" t="s">
        <v>265</v>
      </c>
      <c r="AH6" s="56" t="s">
        <v>266</v>
      </c>
      <c r="AI6" s="56" t="s">
        <v>267</v>
      </c>
      <c r="AJ6" s="56" t="s">
        <v>268</v>
      </c>
      <c r="AK6" s="56" t="s">
        <v>269</v>
      </c>
      <c r="AL6" s="56" t="s">
        <v>27</v>
      </c>
      <c r="AN6" s="24"/>
      <c r="AV6" s="22" t="str">
        <f t="shared" si="12"/>
        <v>#N/A</v>
      </c>
      <c r="AX6" s="25"/>
      <c r="BR6" s="25"/>
      <c r="CF6" s="27">
        <f t="shared" ref="CF6:CK6" si="16">IFERROR(BT6/BZ6,0)</f>
        <v>0</v>
      </c>
      <c r="CG6" s="27">
        <f t="shared" si="16"/>
        <v>0</v>
      </c>
      <c r="CH6" s="27">
        <f t="shared" si="16"/>
        <v>0</v>
      </c>
      <c r="CI6" s="27">
        <f t="shared" si="16"/>
        <v>0</v>
      </c>
      <c r="CJ6" s="27">
        <f t="shared" si="16"/>
        <v>0</v>
      </c>
      <c r="CK6" s="27">
        <f t="shared" si="16"/>
        <v>0</v>
      </c>
    </row>
    <row r="7" ht="18.0" customHeight="1">
      <c r="A7" s="30" t="str">
        <f>Data2026!A13</f>
        <v>profithunters</v>
      </c>
      <c r="B7" s="9">
        <f>Data2026!B13</f>
        <v>46077</v>
      </c>
      <c r="C7" s="11" t="str">
        <f>Data2026!C13</f>
        <v>Fixed</v>
      </c>
      <c r="D7" s="12" t="str">
        <f>Data2026!D13</f>
        <v>profithunters</v>
      </c>
      <c r="E7" s="12" t="str">
        <f>Data2026!E13</f>
        <v>Nugi</v>
      </c>
      <c r="F7" s="9">
        <f>Data2026!F13</f>
        <v>46077</v>
      </c>
      <c r="G7" s="70">
        <f>Data2026!G13</f>
        <v>5518.58</v>
      </c>
      <c r="H7" s="30" t="str">
        <f>Data2026!H13</f>
        <v>Finished</v>
      </c>
      <c r="I7" s="30" t="str">
        <f>Data2026!I13</f>
        <v>Meta</v>
      </c>
      <c r="J7" s="9">
        <f>Data2026!J13</f>
        <v>46077</v>
      </c>
      <c r="K7" s="9">
        <f>Data2026!K13</f>
        <v>46107</v>
      </c>
      <c r="L7" s="43">
        <f t="shared" si="2"/>
        <v>0</v>
      </c>
      <c r="M7" s="43">
        <f t="shared" si="3"/>
        <v>919.7633333</v>
      </c>
      <c r="N7" s="43">
        <f t="shared" si="4"/>
        <v>4598.816667</v>
      </c>
      <c r="O7" s="43">
        <f t="shared" si="5"/>
        <v>0</v>
      </c>
      <c r="P7" s="43">
        <f t="shared" si="6"/>
        <v>0</v>
      </c>
      <c r="Q7" s="43">
        <f t="shared" si="7"/>
        <v>0</v>
      </c>
      <c r="R7" s="49" t="str">
        <f t="shared" ref="R7:W7" si="17">SUMIF(Tableau!$A:$A,$A7,Tableau!E:E)</f>
        <v>#N/A</v>
      </c>
      <c r="S7" s="49" t="str">
        <f t="shared" si="17"/>
        <v>#N/A</v>
      </c>
      <c r="T7" s="49" t="str">
        <f t="shared" si="17"/>
        <v>#N/A</v>
      </c>
      <c r="U7" s="49" t="str">
        <f t="shared" si="17"/>
        <v>#N/A</v>
      </c>
      <c r="V7" s="49" t="str">
        <f t="shared" si="17"/>
        <v>#N/A</v>
      </c>
      <c r="W7" s="49" t="str">
        <f t="shared" si="17"/>
        <v>#N/A</v>
      </c>
      <c r="X7" s="49" t="str">
        <f t="shared" ref="X7:AC7" si="18">SUMIF(Tableau!$A:$A,$A7,Tableau!P:P)</f>
        <v>#N/A</v>
      </c>
      <c r="Y7" s="49" t="str">
        <f t="shared" si="18"/>
        <v>#N/A</v>
      </c>
      <c r="Z7" s="49" t="str">
        <f t="shared" si="18"/>
        <v>#N/A</v>
      </c>
      <c r="AA7" s="49" t="str">
        <f t="shared" si="18"/>
        <v>#N/A</v>
      </c>
      <c r="AB7" s="49" t="str">
        <f t="shared" si="18"/>
        <v>#N/A</v>
      </c>
      <c r="AC7" s="49" t="str">
        <f t="shared" si="18"/>
        <v>#N/A</v>
      </c>
      <c r="AF7" s="22" t="str">
        <f t="shared" ref="AF7:AL7" si="19">AF3/AF5</f>
        <v>#REF!</v>
      </c>
      <c r="AG7" s="22" t="str">
        <f t="shared" si="19"/>
        <v>#REF!</v>
      </c>
      <c r="AH7" s="22" t="str">
        <f t="shared" si="19"/>
        <v>#REF!</v>
      </c>
      <c r="AI7" s="22" t="str">
        <f t="shared" si="19"/>
        <v>#REF!</v>
      </c>
      <c r="AJ7" s="22" t="str">
        <f t="shared" si="19"/>
        <v>#REF!</v>
      </c>
      <c r="AK7" s="22" t="str">
        <f t="shared" si="19"/>
        <v>#REF!</v>
      </c>
      <c r="AL7" s="22" t="str">
        <f t="shared" si="19"/>
        <v>#REF!</v>
      </c>
      <c r="AN7" s="24"/>
      <c r="AV7" s="22" t="str">
        <f t="shared" si="12"/>
        <v>#N/A</v>
      </c>
      <c r="AX7" s="25"/>
      <c r="BR7" s="25"/>
      <c r="CF7" s="27">
        <f t="shared" ref="CF7:CK7" si="20">IFERROR(BT7/BZ7,0)</f>
        <v>0</v>
      </c>
      <c r="CG7" s="27">
        <f t="shared" si="20"/>
        <v>0</v>
      </c>
      <c r="CH7" s="27">
        <f t="shared" si="20"/>
        <v>0</v>
      </c>
      <c r="CI7" s="27">
        <f t="shared" si="20"/>
        <v>0</v>
      </c>
      <c r="CJ7" s="27">
        <f t="shared" si="20"/>
        <v>0</v>
      </c>
      <c r="CK7" s="27">
        <f t="shared" si="20"/>
        <v>0</v>
      </c>
    </row>
    <row r="8" ht="18.0" customHeight="1">
      <c r="A8" s="30" t="str">
        <f>Data2026!A14</f>
        <v>Firelink</v>
      </c>
      <c r="B8" s="9">
        <f>Data2026!B14</f>
        <v>46077</v>
      </c>
      <c r="C8" s="11" t="str">
        <f>Data2026!C14</f>
        <v>Fixed</v>
      </c>
      <c r="D8" s="12" t="str">
        <f>Data2026!D14</f>
        <v>Firelink</v>
      </c>
      <c r="E8" s="12" t="str">
        <f>Data2026!E14</f>
        <v>Nugi</v>
      </c>
      <c r="F8" s="9">
        <f>Data2026!F14</f>
        <v>46077</v>
      </c>
      <c r="G8" s="70">
        <f>Data2026!G14</f>
        <v>889.98</v>
      </c>
      <c r="H8" s="30" t="str">
        <f>Data2026!H14</f>
        <v>Finished</v>
      </c>
      <c r="I8" s="30" t="str">
        <f>Data2026!I14</f>
        <v>SEO</v>
      </c>
      <c r="J8" s="9">
        <f>Data2026!J14</f>
        <v>46077</v>
      </c>
      <c r="K8" s="9">
        <f>Data2026!K14</f>
        <v>46107</v>
      </c>
      <c r="L8" s="43">
        <f t="shared" si="2"/>
        <v>0</v>
      </c>
      <c r="M8" s="43">
        <f t="shared" si="3"/>
        <v>148.33</v>
      </c>
      <c r="N8" s="43">
        <f t="shared" si="4"/>
        <v>741.65</v>
      </c>
      <c r="O8" s="43">
        <f t="shared" si="5"/>
        <v>0</v>
      </c>
      <c r="P8" s="43">
        <f t="shared" si="6"/>
        <v>0</v>
      </c>
      <c r="Q8" s="43">
        <f t="shared" si="7"/>
        <v>0</v>
      </c>
      <c r="R8" s="49" t="str">
        <f t="shared" ref="R8:W8" si="21">SUMIF(Tableau!$A:$A,$A8,Tableau!E:E)</f>
        <v>#N/A</v>
      </c>
      <c r="S8" s="49" t="str">
        <f t="shared" si="21"/>
        <v>#N/A</v>
      </c>
      <c r="T8" s="49" t="str">
        <f t="shared" si="21"/>
        <v>#N/A</v>
      </c>
      <c r="U8" s="49" t="str">
        <f t="shared" si="21"/>
        <v>#N/A</v>
      </c>
      <c r="V8" s="49" t="str">
        <f t="shared" si="21"/>
        <v>#N/A</v>
      </c>
      <c r="W8" s="49" t="str">
        <f t="shared" si="21"/>
        <v>#N/A</v>
      </c>
      <c r="X8" s="49" t="str">
        <f t="shared" ref="X8:AC8" si="22">SUMIF(Tableau!$A:$A,$A8,Tableau!P:P)</f>
        <v>#N/A</v>
      </c>
      <c r="Y8" s="49" t="str">
        <f t="shared" si="22"/>
        <v>#N/A</v>
      </c>
      <c r="Z8" s="49" t="str">
        <f t="shared" si="22"/>
        <v>#N/A</v>
      </c>
      <c r="AA8" s="49" t="str">
        <f t="shared" si="22"/>
        <v>#N/A</v>
      </c>
      <c r="AB8" s="49" t="str">
        <f t="shared" si="22"/>
        <v>#N/A</v>
      </c>
      <c r="AC8" s="49" t="str">
        <f t="shared" si="22"/>
        <v>#N/A</v>
      </c>
      <c r="AF8" s="22"/>
      <c r="AG8" s="22"/>
      <c r="AH8" s="22"/>
      <c r="AI8" s="22"/>
      <c r="AJ8" s="22"/>
      <c r="AK8" s="23"/>
      <c r="AN8" s="24"/>
      <c r="AV8" s="22" t="str">
        <f t="shared" si="12"/>
        <v>#N/A</v>
      </c>
      <c r="AX8" s="25"/>
      <c r="BR8" s="25"/>
      <c r="CF8" s="27">
        <f t="shared" ref="CF8:CK8" si="23">IFERROR(BT8/BZ8,0)</f>
        <v>0</v>
      </c>
      <c r="CG8" s="27">
        <f t="shared" si="23"/>
        <v>0</v>
      </c>
      <c r="CH8" s="27">
        <f t="shared" si="23"/>
        <v>0</v>
      </c>
      <c r="CI8" s="27">
        <f t="shared" si="23"/>
        <v>0</v>
      </c>
      <c r="CJ8" s="27">
        <f t="shared" si="23"/>
        <v>0</v>
      </c>
      <c r="CK8" s="27">
        <f t="shared" si="23"/>
        <v>0</v>
      </c>
    </row>
    <row r="9" ht="18.0" customHeight="1">
      <c r="A9" s="30" t="str">
        <f>Data2026!A15</f>
        <v>Firelink</v>
      </c>
      <c r="B9" s="9">
        <f>Data2026!B15</f>
        <v>46077</v>
      </c>
      <c r="C9" s="11" t="str">
        <f>Data2026!C15</f>
        <v>Fixed</v>
      </c>
      <c r="D9" s="12" t="str">
        <f>Data2026!D15</f>
        <v>Firelink</v>
      </c>
      <c r="E9" s="12" t="str">
        <f>Data2026!E15</f>
        <v>Nugi</v>
      </c>
      <c r="F9" s="9">
        <f>Data2026!F15</f>
        <v>46077</v>
      </c>
      <c r="G9" s="70">
        <f>Data2026!G15</f>
        <v>889.98</v>
      </c>
      <c r="H9" s="30" t="str">
        <f>Data2026!H15</f>
        <v>Finished</v>
      </c>
      <c r="I9" s="30" t="str">
        <f>Data2026!I15</f>
        <v>SEO</v>
      </c>
      <c r="J9" s="9">
        <f>Data2026!J15</f>
        <v>46077</v>
      </c>
      <c r="K9" s="9">
        <f>Data2026!K15</f>
        <v>46107</v>
      </c>
      <c r="L9" s="43">
        <f t="shared" si="2"/>
        <v>0</v>
      </c>
      <c r="M9" s="43">
        <f t="shared" si="3"/>
        <v>148.33</v>
      </c>
      <c r="N9" s="43">
        <f t="shared" si="4"/>
        <v>741.65</v>
      </c>
      <c r="O9" s="43">
        <f t="shared" si="5"/>
        <v>0</v>
      </c>
      <c r="P9" s="43">
        <f t="shared" si="6"/>
        <v>0</v>
      </c>
      <c r="Q9" s="43">
        <f t="shared" si="7"/>
        <v>0</v>
      </c>
      <c r="R9" s="49" t="str">
        <f t="shared" ref="R9:S9" si="24">SUMIF(Tableau!$A:$A,$A9,Tableau!E:E)</f>
        <v>#N/A</v>
      </c>
      <c r="S9" s="49" t="str">
        <f t="shared" si="24"/>
        <v>#N/A</v>
      </c>
      <c r="W9" s="49" t="str">
        <f>SUMIF(Tableau!$A:$A,$A9,Tableau!J:J)</f>
        <v>#N/A</v>
      </c>
      <c r="X9" s="49" t="str">
        <f t="shared" ref="X9:Z9" si="25">SUMIF(Tableau!$A:$A,$A9,Tableau!P:P)</f>
        <v>#N/A</v>
      </c>
      <c r="Y9" s="49" t="str">
        <f t="shared" si="25"/>
        <v>#N/A</v>
      </c>
      <c r="Z9" s="49" t="str">
        <f t="shared" si="25"/>
        <v>#N/A</v>
      </c>
      <c r="AF9" s="22"/>
      <c r="AG9" s="22"/>
      <c r="AH9" s="22"/>
      <c r="AI9" s="22"/>
      <c r="AJ9" s="22"/>
      <c r="AK9" s="23"/>
      <c r="AN9" s="24"/>
      <c r="AV9" s="22" t="str">
        <f t="shared" si="12"/>
        <v>#N/A</v>
      </c>
      <c r="AX9" s="25"/>
      <c r="BR9" s="25"/>
      <c r="CF9" s="27">
        <f t="shared" ref="CF9:CK9" si="26">IFERROR(BT9/BZ9,0)</f>
        <v>0</v>
      </c>
      <c r="CG9" s="27">
        <f t="shared" si="26"/>
        <v>0</v>
      </c>
      <c r="CH9" s="27">
        <f t="shared" si="26"/>
        <v>0</v>
      </c>
      <c r="CI9" s="27">
        <f t="shared" si="26"/>
        <v>0</v>
      </c>
      <c r="CJ9" s="27">
        <f t="shared" si="26"/>
        <v>0</v>
      </c>
      <c r="CK9" s="27">
        <f t="shared" si="26"/>
        <v>0</v>
      </c>
    </row>
    <row r="10" ht="18.0" customHeight="1">
      <c r="A10" s="30" t="str">
        <f>Data2026!A16</f>
        <v>SBGC</v>
      </c>
      <c r="B10" s="9">
        <f>Data2026!B16</f>
        <v>46081</v>
      </c>
      <c r="C10" s="11" t="str">
        <f>Data2026!C16</f>
        <v>Fixed</v>
      </c>
      <c r="D10" s="12" t="str">
        <f>Data2026!D16</f>
        <v>SBGC</v>
      </c>
      <c r="E10" s="12" t="str">
        <f>Data2026!E16</f>
        <v>Ani_S</v>
      </c>
      <c r="F10" s="9">
        <f>Data2026!F16</f>
        <v>46081</v>
      </c>
      <c r="G10" s="70">
        <f>Data2026!G16</f>
        <v>30156.21</v>
      </c>
      <c r="H10" s="30" t="str">
        <f>Data2026!H16</f>
        <v>Finished</v>
      </c>
      <c r="I10" s="30" t="str">
        <f>Data2026!I16</f>
        <v>SEO</v>
      </c>
      <c r="J10" s="9">
        <f>Data2026!J16</f>
        <v>46082</v>
      </c>
      <c r="K10" s="9">
        <f>Data2026!K16</f>
        <v>46203</v>
      </c>
      <c r="L10" s="43">
        <f t="shared" si="2"/>
        <v>0</v>
      </c>
      <c r="M10" s="43">
        <f t="shared" si="3"/>
        <v>0</v>
      </c>
      <c r="N10" s="43">
        <f t="shared" si="4"/>
        <v>7725.971157</v>
      </c>
      <c r="O10" s="43">
        <f t="shared" si="5"/>
        <v>7476.746281</v>
      </c>
      <c r="P10" s="43">
        <f t="shared" si="6"/>
        <v>7725.971157</v>
      </c>
      <c r="Q10" s="43">
        <f t="shared" si="7"/>
        <v>7227.521405</v>
      </c>
      <c r="T10" s="49" t="str">
        <f t="shared" ref="T10:W10" si="27">SUMIF(Tableau!$A:$A,$A10,Tableau!G:G)</f>
        <v>#N/A</v>
      </c>
      <c r="U10" s="49" t="str">
        <f t="shared" si="27"/>
        <v>#N/A</v>
      </c>
      <c r="V10" s="49" t="str">
        <f t="shared" si="27"/>
        <v>#N/A</v>
      </c>
      <c r="W10" s="49" t="str">
        <f t="shared" si="27"/>
        <v>#N/A</v>
      </c>
      <c r="AF10" s="49"/>
      <c r="AG10" s="49"/>
      <c r="AH10" s="49"/>
      <c r="AI10" s="49"/>
      <c r="AJ10" s="49"/>
      <c r="AK10" s="49"/>
      <c r="AL10" s="56" t="s">
        <v>27</v>
      </c>
      <c r="AN10" s="24"/>
      <c r="AV10" s="104" t="str">
        <f t="shared" si="12"/>
        <v>#N/A</v>
      </c>
      <c r="AX10" s="25"/>
      <c r="BR10" s="25"/>
      <c r="CF10" s="27">
        <f t="shared" ref="CF10:CK10" si="28">IFERROR(BT10/BZ10,0)</f>
        <v>0</v>
      </c>
      <c r="CG10" s="27">
        <f t="shared" si="28"/>
        <v>0</v>
      </c>
      <c r="CH10" s="27">
        <f t="shared" si="28"/>
        <v>0</v>
      </c>
      <c r="CI10" s="27">
        <f t="shared" si="28"/>
        <v>0</v>
      </c>
      <c r="CJ10" s="27">
        <f t="shared" si="28"/>
        <v>0</v>
      </c>
      <c r="CK10" s="27">
        <f t="shared" si="28"/>
        <v>0</v>
      </c>
    </row>
    <row r="11" ht="18.0" customHeight="1">
      <c r="A11" s="30" t="str">
        <f>Data2026!A17</f>
        <v>coincodex</v>
      </c>
      <c r="B11" s="9">
        <f>Data2026!B17</f>
        <v>46081</v>
      </c>
      <c r="C11" s="11" t="str">
        <f>Data2026!C17</f>
        <v>Fixed</v>
      </c>
      <c r="D11" s="12" t="str">
        <f>Data2026!D17</f>
        <v>coincodex</v>
      </c>
      <c r="E11" s="12" t="str">
        <f>Data2026!E17</f>
        <v>Nini_B</v>
      </c>
      <c r="F11" s="9">
        <f>Data2026!F17</f>
        <v>46081</v>
      </c>
      <c r="G11" s="70">
        <f>Data2026!G17</f>
        <v>8586.6</v>
      </c>
      <c r="H11" s="30" t="str">
        <f>Data2026!H17</f>
        <v>Finished</v>
      </c>
      <c r="I11" s="30" t="str">
        <f>Data2026!I17</f>
        <v>SEO</v>
      </c>
      <c r="J11" s="9">
        <f>Data2026!J17</f>
        <v>46081</v>
      </c>
      <c r="K11" s="9">
        <f>Data2026!K17</f>
        <v>46111</v>
      </c>
      <c r="L11" s="43">
        <f t="shared" si="2"/>
        <v>0</v>
      </c>
      <c r="M11" s="43">
        <f t="shared" si="3"/>
        <v>286.22</v>
      </c>
      <c r="N11" s="43">
        <f t="shared" si="4"/>
        <v>8300.38</v>
      </c>
      <c r="O11" s="43">
        <f t="shared" si="5"/>
        <v>0</v>
      </c>
      <c r="P11" s="43">
        <f t="shared" si="6"/>
        <v>0</v>
      </c>
      <c r="Q11" s="43">
        <f t="shared" si="7"/>
        <v>0</v>
      </c>
      <c r="R11" s="49" t="str">
        <f t="shared" ref="R11:W11" si="29">SUMIF(Tableau!$A:$A,$A11,Tableau!E:E)</f>
        <v>#N/A</v>
      </c>
      <c r="S11" s="49" t="str">
        <f t="shared" si="29"/>
        <v>#N/A</v>
      </c>
      <c r="T11" s="49" t="str">
        <f t="shared" si="29"/>
        <v>#N/A</v>
      </c>
      <c r="U11" s="49" t="str">
        <f t="shared" si="29"/>
        <v>#N/A</v>
      </c>
      <c r="V11" s="49" t="str">
        <f t="shared" si="29"/>
        <v>#N/A</v>
      </c>
      <c r="W11" s="49" t="str">
        <f t="shared" si="29"/>
        <v>#N/A</v>
      </c>
      <c r="X11" s="49" t="str">
        <f t="shared" ref="X11:AC11" si="30">SUMIF(Tableau!$A:$A,$A11,Tableau!P:P)</f>
        <v>#N/A</v>
      </c>
      <c r="Y11" s="49" t="str">
        <f t="shared" si="30"/>
        <v>#N/A</v>
      </c>
      <c r="Z11" s="49" t="str">
        <f t="shared" si="30"/>
        <v>#N/A</v>
      </c>
      <c r="AA11" s="49" t="str">
        <f t="shared" si="30"/>
        <v>#N/A</v>
      </c>
      <c r="AB11" s="49" t="str">
        <f t="shared" si="30"/>
        <v>#N/A</v>
      </c>
      <c r="AC11" s="49" t="str">
        <f t="shared" si="30"/>
        <v>#N/A</v>
      </c>
      <c r="AF11" s="49"/>
      <c r="AG11" s="49"/>
      <c r="AH11" s="49"/>
      <c r="AI11" s="49"/>
      <c r="AJ11" s="49"/>
      <c r="AK11" s="49"/>
      <c r="AL11" s="22">
        <f t="shared" ref="AL11:AL18" si="34">SUM(AF11:AK11)</f>
        <v>0</v>
      </c>
      <c r="AN11" s="24"/>
      <c r="AX11" s="25"/>
      <c r="BR11" s="25"/>
      <c r="CF11" s="27">
        <f t="shared" ref="CF11:CK11" si="31">IFERROR(BT11/BZ11,0)</f>
        <v>0</v>
      </c>
      <c r="CG11" s="27">
        <f t="shared" si="31"/>
        <v>0</v>
      </c>
      <c r="CH11" s="27">
        <f t="shared" si="31"/>
        <v>0</v>
      </c>
      <c r="CI11" s="27">
        <f t="shared" si="31"/>
        <v>0</v>
      </c>
      <c r="CJ11" s="27">
        <f t="shared" si="31"/>
        <v>0</v>
      </c>
      <c r="CK11" s="27">
        <f t="shared" si="31"/>
        <v>0</v>
      </c>
    </row>
    <row r="12" ht="18.0" customHeight="1">
      <c r="A12" s="30" t="str">
        <f>Data2026!A18</f>
        <v>rocketlink</v>
      </c>
      <c r="B12" s="9">
        <f>Data2026!B18</f>
        <v>46082</v>
      </c>
      <c r="C12" s="11" t="str">
        <f>Data2026!C18</f>
        <v>Fixed</v>
      </c>
      <c r="D12" s="12" t="str">
        <f>Data2026!D18</f>
        <v>rocketlink</v>
      </c>
      <c r="E12" s="12" t="str">
        <f>Data2026!E18</f>
        <v>Nugi</v>
      </c>
      <c r="F12" s="9">
        <f>Data2026!F18</f>
        <v>46082</v>
      </c>
      <c r="G12" s="70">
        <f>Data2026!G18</f>
        <v>1500</v>
      </c>
      <c r="H12" s="30" t="str">
        <f>Data2026!H18</f>
        <v>Finished</v>
      </c>
      <c r="I12" s="30" t="str">
        <f>Data2026!I18</f>
        <v>SEO</v>
      </c>
      <c r="J12" s="9">
        <f>Data2026!J18</f>
        <v>46082</v>
      </c>
      <c r="K12" s="9">
        <f>Data2026!K18</f>
        <v>46112</v>
      </c>
      <c r="L12" s="43">
        <f t="shared" si="2"/>
        <v>0</v>
      </c>
      <c r="M12" s="43">
        <f t="shared" si="3"/>
        <v>0</v>
      </c>
      <c r="N12" s="43">
        <f t="shared" si="4"/>
        <v>1500</v>
      </c>
      <c r="O12" s="43">
        <f t="shared" si="5"/>
        <v>0</v>
      </c>
      <c r="P12" s="43">
        <f t="shared" si="6"/>
        <v>0</v>
      </c>
      <c r="Q12" s="43">
        <f t="shared" si="7"/>
        <v>0</v>
      </c>
      <c r="R12" s="49" t="str">
        <f t="shared" ref="R12:W12" si="32">SUMIF(Tableau!$A:$A,$A12,Tableau!E:E)</f>
        <v>#N/A</v>
      </c>
      <c r="S12" s="49" t="str">
        <f t="shared" si="32"/>
        <v>#N/A</v>
      </c>
      <c r="T12" s="49" t="str">
        <f t="shared" si="32"/>
        <v>#N/A</v>
      </c>
      <c r="U12" s="49" t="str">
        <f t="shared" si="32"/>
        <v>#N/A</v>
      </c>
      <c r="V12" s="49" t="str">
        <f t="shared" si="32"/>
        <v>#N/A</v>
      </c>
      <c r="W12" s="49" t="str">
        <f t="shared" si="32"/>
        <v>#N/A</v>
      </c>
      <c r="X12" s="49" t="str">
        <f t="shared" ref="X12:AC12" si="33">SUMIF(Tableau!$A:$A,$A12,Tableau!P:P)</f>
        <v>#N/A</v>
      </c>
      <c r="Y12" s="49" t="str">
        <f t="shared" si="33"/>
        <v>#N/A</v>
      </c>
      <c r="Z12" s="49" t="str">
        <f t="shared" si="33"/>
        <v>#N/A</v>
      </c>
      <c r="AA12" s="49" t="str">
        <f t="shared" si="33"/>
        <v>#N/A</v>
      </c>
      <c r="AB12" s="49" t="str">
        <f t="shared" si="33"/>
        <v>#N/A</v>
      </c>
      <c r="AC12" s="49" t="str">
        <f t="shared" si="33"/>
        <v>#N/A</v>
      </c>
      <c r="AF12" s="49"/>
      <c r="AG12" s="49"/>
      <c r="AH12" s="49"/>
      <c r="AI12" s="49"/>
      <c r="AJ12" s="49"/>
      <c r="AK12" s="49"/>
      <c r="AL12" s="22">
        <f t="shared" si="34"/>
        <v>0</v>
      </c>
      <c r="AN12" s="24"/>
      <c r="AO12" s="24"/>
      <c r="AX12" s="25"/>
      <c r="BR12" s="25"/>
      <c r="CF12" s="27">
        <f t="shared" ref="CF12:CK12" si="35">IFERROR(BT12/BZ12,0)</f>
        <v>0</v>
      </c>
      <c r="CG12" s="27">
        <f t="shared" si="35"/>
        <v>0</v>
      </c>
      <c r="CH12" s="27">
        <f t="shared" si="35"/>
        <v>0</v>
      </c>
      <c r="CI12" s="27">
        <f t="shared" si="35"/>
        <v>0</v>
      </c>
      <c r="CJ12" s="27">
        <f t="shared" si="35"/>
        <v>0</v>
      </c>
      <c r="CK12" s="27">
        <f t="shared" si="35"/>
        <v>0</v>
      </c>
    </row>
    <row r="13" ht="18.0" customHeight="1">
      <c r="A13" s="30" t="str">
        <f>Data2026!A19</f>
        <v>bwisemedia</v>
      </c>
      <c r="B13" s="9">
        <f>Data2026!B19</f>
        <v>46085</v>
      </c>
      <c r="C13" s="11" t="str">
        <f>Data2026!C19</f>
        <v>Fixed</v>
      </c>
      <c r="D13" s="12" t="str">
        <f>Data2026!D19</f>
        <v>bwisemedia</v>
      </c>
      <c r="E13" s="12" t="str">
        <f>Data2026!E19</f>
        <v>Elene_Gh</v>
      </c>
      <c r="F13" s="9">
        <f>Data2026!F19</f>
        <v>46085</v>
      </c>
      <c r="G13" s="70">
        <f>Data2026!G19</f>
        <v>3062.32</v>
      </c>
      <c r="H13" s="30" t="str">
        <f>Data2026!H19</f>
        <v>Finished</v>
      </c>
      <c r="I13" s="30" t="str">
        <f>Data2026!I19</f>
        <v>DSP</v>
      </c>
      <c r="J13" s="9">
        <f>Data2026!J19</f>
        <v>46085</v>
      </c>
      <c r="K13" s="9">
        <f>Data2026!K19</f>
        <v>46115</v>
      </c>
      <c r="L13" s="43">
        <f t="shared" si="2"/>
        <v>0</v>
      </c>
      <c r="M13" s="43">
        <f t="shared" si="3"/>
        <v>0</v>
      </c>
      <c r="N13" s="43">
        <f t="shared" si="4"/>
        <v>2858.165333</v>
      </c>
      <c r="O13" s="43">
        <f t="shared" si="5"/>
        <v>204.1546667</v>
      </c>
      <c r="P13" s="43">
        <f t="shared" si="6"/>
        <v>0</v>
      </c>
      <c r="Q13" s="43">
        <f t="shared" si="7"/>
        <v>0</v>
      </c>
      <c r="R13" s="49" t="str">
        <f t="shared" ref="R13:W13" si="36">SUMIF(Tableau!$A:$A,$A13,Tableau!E:E)</f>
        <v>#N/A</v>
      </c>
      <c r="S13" s="49" t="str">
        <f t="shared" si="36"/>
        <v>#N/A</v>
      </c>
      <c r="T13" s="49" t="str">
        <f t="shared" si="36"/>
        <v>#N/A</v>
      </c>
      <c r="U13" s="49" t="str">
        <f t="shared" si="36"/>
        <v>#N/A</v>
      </c>
      <c r="V13" s="49" t="str">
        <f t="shared" si="36"/>
        <v>#N/A</v>
      </c>
      <c r="W13" s="49" t="str">
        <f t="shared" si="36"/>
        <v>#N/A</v>
      </c>
      <c r="X13" s="49" t="str">
        <f t="shared" ref="X13:AC13" si="37">SUMIF(Tableau!$A:$A,$A13,Tableau!P:P)</f>
        <v>#N/A</v>
      </c>
      <c r="Y13" s="49" t="str">
        <f t="shared" si="37"/>
        <v>#N/A</v>
      </c>
      <c r="Z13" s="49" t="str">
        <f t="shared" si="37"/>
        <v>#N/A</v>
      </c>
      <c r="AA13" s="49" t="str">
        <f t="shared" si="37"/>
        <v>#N/A</v>
      </c>
      <c r="AB13" s="49" t="str">
        <f t="shared" si="37"/>
        <v>#N/A</v>
      </c>
      <c r="AC13" s="49" t="str">
        <f t="shared" si="37"/>
        <v>#N/A</v>
      </c>
      <c r="AF13" s="49"/>
      <c r="AG13" s="49"/>
      <c r="AH13" s="49"/>
      <c r="AI13" s="49"/>
      <c r="AJ13" s="49"/>
      <c r="AK13" s="49"/>
      <c r="AL13" s="22">
        <f t="shared" si="34"/>
        <v>0</v>
      </c>
      <c r="AN13" s="24"/>
      <c r="AV13" s="56" t="s">
        <v>27</v>
      </c>
      <c r="AX13" s="25"/>
      <c r="AY13" s="22"/>
      <c r="AZ13" s="22"/>
      <c r="BR13" s="25"/>
      <c r="CF13" s="27">
        <f t="shared" ref="CF13:CK13" si="38">IFERROR(BT13/BZ13,0)</f>
        <v>0</v>
      </c>
      <c r="CG13" s="27">
        <f t="shared" si="38"/>
        <v>0</v>
      </c>
      <c r="CH13" s="27">
        <f t="shared" si="38"/>
        <v>0</v>
      </c>
      <c r="CI13" s="27">
        <f t="shared" si="38"/>
        <v>0</v>
      </c>
      <c r="CJ13" s="27">
        <f t="shared" si="38"/>
        <v>0</v>
      </c>
      <c r="CK13" s="27">
        <f t="shared" si="38"/>
        <v>0</v>
      </c>
    </row>
    <row r="14" ht="18.0" customHeight="1">
      <c r="A14" s="30" t="str">
        <f>Data2026!A20</f>
        <v>andriiparfenov1</v>
      </c>
      <c r="B14" s="9">
        <f>Data2026!B20</f>
        <v>46091</v>
      </c>
      <c r="C14" s="11" t="str">
        <f>Data2026!C20</f>
        <v>CPA</v>
      </c>
      <c r="D14" s="12" t="str">
        <f>Data2026!D20</f>
        <v>andriiparfenov1</v>
      </c>
      <c r="E14" s="12" t="str">
        <f>Data2026!E20</f>
        <v>Elene_Gh</v>
      </c>
      <c r="F14" s="9">
        <f>Data2026!F20</f>
        <v>46091</v>
      </c>
      <c r="G14" s="70">
        <f>Data2026!G20</f>
        <v>400</v>
      </c>
      <c r="H14" s="30" t="str">
        <f>Data2026!H20</f>
        <v>Finished</v>
      </c>
      <c r="I14" s="30" t="str">
        <f>Data2026!I20</f>
        <v>SEO</v>
      </c>
      <c r="J14" s="9">
        <f>Data2026!J20</f>
        <v>46091</v>
      </c>
      <c r="K14" s="9">
        <f>Data2026!K20</f>
        <v>46121</v>
      </c>
      <c r="L14" s="43">
        <f t="shared" si="2"/>
        <v>0</v>
      </c>
      <c r="M14" s="43">
        <f t="shared" si="3"/>
        <v>0</v>
      </c>
      <c r="N14" s="43">
        <f t="shared" si="4"/>
        <v>293.3333333</v>
      </c>
      <c r="O14" s="43">
        <f t="shared" si="5"/>
        <v>106.6666667</v>
      </c>
      <c r="P14" s="43">
        <f t="shared" si="6"/>
        <v>0</v>
      </c>
      <c r="Q14" s="43">
        <f t="shared" si="7"/>
        <v>0</v>
      </c>
      <c r="R14" s="49" t="str">
        <f t="shared" ref="R14:W14" si="39">SUMIF(Tableau!$A:$A,$A14,Tableau!E:E)</f>
        <v>#N/A</v>
      </c>
      <c r="S14" s="49" t="str">
        <f t="shared" si="39"/>
        <v>#N/A</v>
      </c>
      <c r="T14" s="49" t="str">
        <f t="shared" si="39"/>
        <v>#N/A</v>
      </c>
      <c r="U14" s="49" t="str">
        <f t="shared" si="39"/>
        <v>#N/A</v>
      </c>
      <c r="V14" s="49" t="str">
        <f t="shared" si="39"/>
        <v>#N/A</v>
      </c>
      <c r="W14" s="49" t="str">
        <f t="shared" si="39"/>
        <v>#N/A</v>
      </c>
      <c r="X14" s="49" t="str">
        <f t="shared" ref="X14:AC14" si="40">SUMIF(Tableau!$A:$A,$A14,Tableau!P:P)</f>
        <v>#N/A</v>
      </c>
      <c r="Y14" s="49" t="str">
        <f t="shared" si="40"/>
        <v>#N/A</v>
      </c>
      <c r="Z14" s="49" t="str">
        <f t="shared" si="40"/>
        <v>#N/A</v>
      </c>
      <c r="AA14" s="49" t="str">
        <f t="shared" si="40"/>
        <v>#N/A</v>
      </c>
      <c r="AB14" s="49" t="str">
        <f t="shared" si="40"/>
        <v>#N/A</v>
      </c>
      <c r="AC14" s="49" t="str">
        <f t="shared" si="40"/>
        <v>#N/A</v>
      </c>
      <c r="AF14" s="49"/>
      <c r="AG14" s="49"/>
      <c r="AH14" s="49"/>
      <c r="AI14" s="49"/>
      <c r="AJ14" s="49"/>
      <c r="AK14" s="49"/>
      <c r="AL14" s="22">
        <f t="shared" si="34"/>
        <v>0</v>
      </c>
      <c r="AN14" s="24"/>
      <c r="AV14" s="22">
        <f t="shared" ref="AV14:AV58" si="44">SUM(AP14:AU14)</f>
        <v>0</v>
      </c>
      <c r="AX14" s="25"/>
      <c r="AY14" s="24"/>
      <c r="BH14" s="23" t="s">
        <v>347</v>
      </c>
      <c r="BR14" s="25"/>
      <c r="CF14" s="27">
        <f t="shared" ref="CF14:CK14" si="41">IFERROR(BT14/BZ14,0)</f>
        <v>0</v>
      </c>
      <c r="CG14" s="27">
        <f t="shared" si="41"/>
        <v>0</v>
      </c>
      <c r="CH14" s="27">
        <f t="shared" si="41"/>
        <v>0</v>
      </c>
      <c r="CI14" s="27">
        <f t="shared" si="41"/>
        <v>0</v>
      </c>
      <c r="CJ14" s="27">
        <f t="shared" si="41"/>
        <v>0</v>
      </c>
      <c r="CK14" s="27">
        <f t="shared" si="41"/>
        <v>0</v>
      </c>
    </row>
    <row r="15" ht="18.0" customHeight="1">
      <c r="A15" s="30" t="str">
        <f>Data2026!A21</f>
        <v>DappCentre</v>
      </c>
      <c r="B15" s="9">
        <f>Data2026!B21</f>
        <v>46093</v>
      </c>
      <c r="C15" s="11" t="str">
        <f>Data2026!C21</f>
        <v>Fixed</v>
      </c>
      <c r="D15" s="12" t="str">
        <f>Data2026!D21</f>
        <v>DappCentre</v>
      </c>
      <c r="E15" s="12" t="str">
        <f>Data2026!E21</f>
        <v>Nini_B</v>
      </c>
      <c r="F15" s="9">
        <f>Data2026!F21</f>
        <v>46093</v>
      </c>
      <c r="G15" s="70">
        <f>Data2026!G21</f>
        <v>1423.29</v>
      </c>
      <c r="H15" s="30" t="str">
        <f>Data2026!H21</f>
        <v>Finished</v>
      </c>
      <c r="I15" s="30" t="str">
        <f>Data2026!I21</f>
        <v>Influence</v>
      </c>
      <c r="J15" s="9">
        <f>Data2026!J21</f>
        <v>46093</v>
      </c>
      <c r="K15" s="9">
        <f>Data2026!K21</f>
        <v>46213</v>
      </c>
      <c r="L15" s="43">
        <f t="shared" si="2"/>
        <v>0</v>
      </c>
      <c r="M15" s="43">
        <f t="shared" si="3"/>
        <v>0</v>
      </c>
      <c r="N15" s="43">
        <f t="shared" si="4"/>
        <v>237.215</v>
      </c>
      <c r="O15" s="43">
        <f t="shared" si="5"/>
        <v>355.8225</v>
      </c>
      <c r="P15" s="43">
        <f t="shared" si="6"/>
        <v>367.68325</v>
      </c>
      <c r="Q15" s="43">
        <f t="shared" si="7"/>
        <v>355.8225</v>
      </c>
      <c r="R15" s="49" t="str">
        <f t="shared" ref="R15:W15" si="42">SUMIF(Tableau!$A:$A,$A15,Tableau!E:E)</f>
        <v>#N/A</v>
      </c>
      <c r="S15" s="49" t="str">
        <f t="shared" si="42"/>
        <v>#N/A</v>
      </c>
      <c r="T15" s="49" t="str">
        <f t="shared" si="42"/>
        <v>#N/A</v>
      </c>
      <c r="U15" s="49" t="str">
        <f t="shared" si="42"/>
        <v>#N/A</v>
      </c>
      <c r="V15" s="49" t="str">
        <f t="shared" si="42"/>
        <v>#N/A</v>
      </c>
      <c r="W15" s="49" t="str">
        <f t="shared" si="42"/>
        <v>#N/A</v>
      </c>
      <c r="X15" s="49" t="str">
        <f t="shared" ref="X15:AC15" si="43">SUMIF(Tableau!$A:$A,$A15,Tableau!P:P)</f>
        <v>#N/A</v>
      </c>
      <c r="Y15" s="49" t="str">
        <f t="shared" si="43"/>
        <v>#N/A</v>
      </c>
      <c r="Z15" s="49" t="str">
        <f t="shared" si="43"/>
        <v>#N/A</v>
      </c>
      <c r="AA15" s="49" t="str">
        <f t="shared" si="43"/>
        <v>#N/A</v>
      </c>
      <c r="AB15" s="49" t="str">
        <f t="shared" si="43"/>
        <v>#N/A</v>
      </c>
      <c r="AC15" s="49" t="str">
        <f t="shared" si="43"/>
        <v>#N/A</v>
      </c>
      <c r="AF15" s="49"/>
      <c r="AG15" s="49"/>
      <c r="AH15" s="49"/>
      <c r="AI15" s="49"/>
      <c r="AJ15" s="49"/>
      <c r="AK15" s="49"/>
      <c r="AL15" s="22">
        <f t="shared" si="34"/>
        <v>0</v>
      </c>
      <c r="AN15" s="24"/>
      <c r="AV15" s="22">
        <f t="shared" si="44"/>
        <v>0</v>
      </c>
      <c r="AX15" s="25"/>
      <c r="BF15" s="56" t="s">
        <v>27</v>
      </c>
      <c r="BI15" s="56" t="s">
        <v>354</v>
      </c>
      <c r="BJ15" s="56" t="s">
        <v>355</v>
      </c>
      <c r="BK15" s="56" t="s">
        <v>356</v>
      </c>
      <c r="BL15" s="56" t="s">
        <v>357</v>
      </c>
      <c r="BM15" s="56" t="s">
        <v>358</v>
      </c>
      <c r="BN15" s="56" t="s">
        <v>359</v>
      </c>
      <c r="BO15" s="56" t="s">
        <v>27</v>
      </c>
      <c r="BR15" s="25"/>
      <c r="CF15" s="27">
        <f t="shared" ref="CF15:CK15" si="45">IFERROR(BT15/BZ15,0)</f>
        <v>0</v>
      </c>
      <c r="CG15" s="27">
        <f t="shared" si="45"/>
        <v>0</v>
      </c>
      <c r="CH15" s="27">
        <f t="shared" si="45"/>
        <v>0</v>
      </c>
      <c r="CI15" s="27">
        <f t="shared" si="45"/>
        <v>0</v>
      </c>
      <c r="CJ15" s="27">
        <f t="shared" si="45"/>
        <v>0</v>
      </c>
      <c r="CK15" s="27">
        <f t="shared" si="45"/>
        <v>0</v>
      </c>
    </row>
    <row r="16" ht="18.0" customHeight="1">
      <c r="A16" s="30" t="str">
        <f>Data2026!A22</f>
        <v>Ricardoc24</v>
      </c>
      <c r="B16" s="9">
        <f>Data2026!B22</f>
        <v>46094</v>
      </c>
      <c r="C16" s="11" t="str">
        <f>Data2026!C22</f>
        <v>Fixed</v>
      </c>
      <c r="D16" s="12" t="str">
        <f>Data2026!D22</f>
        <v>Ricardoc24</v>
      </c>
      <c r="E16" s="12" t="str">
        <f>Data2026!E22</f>
        <v>Nini_B</v>
      </c>
      <c r="F16" s="9">
        <f>Data2026!F22</f>
        <v>46094</v>
      </c>
      <c r="G16" s="70" t="str">
        <f>Data2026!G22</f>
        <v/>
      </c>
      <c r="H16" s="30" t="str">
        <f>Data2026!H22</f>
        <v>Finished</v>
      </c>
      <c r="I16" s="30" t="str">
        <f>Data2026!I22</f>
        <v>Influence</v>
      </c>
      <c r="J16" s="9">
        <f>Data2026!J22</f>
        <v>46094</v>
      </c>
      <c r="K16" s="9">
        <f>Data2026!K22</f>
        <v>46124</v>
      </c>
      <c r="L16" s="43">
        <f t="shared" si="2"/>
        <v>0</v>
      </c>
      <c r="M16" s="43">
        <f t="shared" si="3"/>
        <v>0</v>
      </c>
      <c r="N16" s="43">
        <f t="shared" si="4"/>
        <v>0</v>
      </c>
      <c r="O16" s="43">
        <f t="shared" si="5"/>
        <v>0</v>
      </c>
      <c r="P16" s="43">
        <f t="shared" si="6"/>
        <v>0</v>
      </c>
      <c r="Q16" s="43">
        <f t="shared" si="7"/>
        <v>0</v>
      </c>
      <c r="R16" s="49" t="str">
        <f t="shared" ref="R16:W16" si="46">SUMIF(Tableau!$A:$A,$A16,Tableau!E:E)</f>
        <v>#N/A</v>
      </c>
      <c r="S16" s="49" t="str">
        <f t="shared" si="46"/>
        <v>#N/A</v>
      </c>
      <c r="T16" s="49" t="str">
        <f t="shared" si="46"/>
        <v>#N/A</v>
      </c>
      <c r="U16" s="49" t="str">
        <f t="shared" si="46"/>
        <v>#N/A</v>
      </c>
      <c r="V16" s="49" t="str">
        <f t="shared" si="46"/>
        <v>#N/A</v>
      </c>
      <c r="W16" s="49" t="str">
        <f t="shared" si="46"/>
        <v>#N/A</v>
      </c>
      <c r="X16" s="49" t="str">
        <f t="shared" ref="X16:AC16" si="47">SUMIF(Tableau!$A:$A,$A16,Tableau!P:P)</f>
        <v>#N/A</v>
      </c>
      <c r="Y16" s="49" t="str">
        <f t="shared" si="47"/>
        <v>#N/A</v>
      </c>
      <c r="Z16" s="49" t="str">
        <f t="shared" si="47"/>
        <v>#N/A</v>
      </c>
      <c r="AA16" s="49" t="str">
        <f t="shared" si="47"/>
        <v>#N/A</v>
      </c>
      <c r="AB16" s="49" t="str">
        <f t="shared" si="47"/>
        <v>#N/A</v>
      </c>
      <c r="AC16" s="49" t="str">
        <f t="shared" si="47"/>
        <v>#N/A</v>
      </c>
      <c r="AF16" s="49"/>
      <c r="AG16" s="49"/>
      <c r="AH16" s="49"/>
      <c r="AI16" s="49"/>
      <c r="AJ16" s="49"/>
      <c r="AK16" s="49"/>
      <c r="AL16" s="22">
        <f t="shared" si="34"/>
        <v>0</v>
      </c>
      <c r="AN16" s="24"/>
      <c r="AV16" s="22">
        <f t="shared" si="44"/>
        <v>686.9</v>
      </c>
      <c r="AX16" s="25"/>
      <c r="BF16" s="27" t="str">
        <f t="shared" ref="BF16:BF60" si="51">SUM(AZ16:BE16)</f>
        <v>#N/A</v>
      </c>
      <c r="BH16" s="49" t="s">
        <v>93</v>
      </c>
      <c r="BI16" s="110">
        <v>0.0</v>
      </c>
      <c r="BJ16" s="110">
        <v>0.0</v>
      </c>
      <c r="BK16" s="110">
        <v>105.63063063063063</v>
      </c>
      <c r="BL16" s="110">
        <v>86.73139158576052</v>
      </c>
      <c r="BM16" s="110">
        <v>0.0</v>
      </c>
      <c r="BN16" s="110">
        <v>0.0</v>
      </c>
      <c r="BO16" s="110">
        <v>48.9766081871345</v>
      </c>
      <c r="BR16" s="25"/>
      <c r="CF16" s="27">
        <f t="shared" ref="CF16:CK16" si="48">IFERROR(BT16/BZ16,0)</f>
        <v>0</v>
      </c>
      <c r="CG16" s="27">
        <f t="shared" si="48"/>
        <v>0</v>
      </c>
      <c r="CH16" s="27">
        <f t="shared" si="48"/>
        <v>0</v>
      </c>
      <c r="CI16" s="27">
        <f t="shared" si="48"/>
        <v>0</v>
      </c>
      <c r="CJ16" s="27">
        <f t="shared" si="48"/>
        <v>0</v>
      </c>
      <c r="CK16" s="27">
        <f t="shared" si="48"/>
        <v>0</v>
      </c>
    </row>
    <row r="17" ht="18.0" customHeight="1">
      <c r="A17" s="30" t="str">
        <f>Data2026!A23</f>
        <v>Valek</v>
      </c>
      <c r="B17" s="9">
        <f>Data2026!B23</f>
        <v>46094</v>
      </c>
      <c r="C17" s="11" t="str">
        <f>Data2026!C23</f>
        <v>Fixed</v>
      </c>
      <c r="D17" s="12" t="str">
        <f>Data2026!D23</f>
        <v>Valek</v>
      </c>
      <c r="E17" s="12" t="str">
        <f>Data2026!E23</f>
        <v>Nini_B</v>
      </c>
      <c r="F17" s="9">
        <f>Data2026!F23</f>
        <v>46094</v>
      </c>
      <c r="G17" s="70">
        <f>Data2026!G23</f>
        <v>2700.59</v>
      </c>
      <c r="H17" s="30" t="str">
        <f>Data2026!H23</f>
        <v>Finished</v>
      </c>
      <c r="I17" s="30" t="str">
        <f>Data2026!I23</f>
        <v>Influence</v>
      </c>
      <c r="J17" s="9">
        <f>Data2026!J23</f>
        <v>46094</v>
      </c>
      <c r="K17" s="9">
        <f>Data2026!K23</f>
        <v>46124</v>
      </c>
      <c r="L17" s="43">
        <f t="shared" si="2"/>
        <v>0</v>
      </c>
      <c r="M17" s="43">
        <f t="shared" si="3"/>
        <v>0</v>
      </c>
      <c r="N17" s="43">
        <f t="shared" si="4"/>
        <v>1710.373667</v>
      </c>
      <c r="O17" s="43">
        <f t="shared" si="5"/>
        <v>990.2163333</v>
      </c>
      <c r="P17" s="43">
        <f t="shared" si="6"/>
        <v>0</v>
      </c>
      <c r="Q17" s="43">
        <f t="shared" si="7"/>
        <v>0</v>
      </c>
      <c r="R17" s="49" t="str">
        <f t="shared" ref="R17:W17" si="49">SUMIF(Tableau!$A:$A,$A17,Tableau!E:E)</f>
        <v>#N/A</v>
      </c>
      <c r="S17" s="49" t="str">
        <f t="shared" si="49"/>
        <v>#N/A</v>
      </c>
      <c r="T17" s="49" t="str">
        <f t="shared" si="49"/>
        <v>#N/A</v>
      </c>
      <c r="U17" s="49" t="str">
        <f t="shared" si="49"/>
        <v>#N/A</v>
      </c>
      <c r="V17" s="49" t="str">
        <f t="shared" si="49"/>
        <v>#N/A</v>
      </c>
      <c r="W17" s="49" t="str">
        <f t="shared" si="49"/>
        <v>#N/A</v>
      </c>
      <c r="X17" s="49" t="str">
        <f t="shared" ref="X17:AC17" si="50">SUMIF(Tableau!$A:$A,$A17,Tableau!P:P)</f>
        <v>#N/A</v>
      </c>
      <c r="Y17" s="49" t="str">
        <f t="shared" si="50"/>
        <v>#N/A</v>
      </c>
      <c r="Z17" s="49" t="str">
        <f t="shared" si="50"/>
        <v>#N/A</v>
      </c>
      <c r="AA17" s="49" t="str">
        <f t="shared" si="50"/>
        <v>#N/A</v>
      </c>
      <c r="AB17" s="49" t="str">
        <f t="shared" si="50"/>
        <v>#N/A</v>
      </c>
      <c r="AC17" s="49" t="str">
        <f t="shared" si="50"/>
        <v>#N/A</v>
      </c>
      <c r="AF17" s="49"/>
      <c r="AG17" s="49"/>
      <c r="AH17" s="49"/>
      <c r="AI17" s="49"/>
      <c r="AJ17" s="49"/>
      <c r="AK17" s="49"/>
      <c r="AL17" s="22">
        <f t="shared" si="34"/>
        <v>0</v>
      </c>
      <c r="AN17" s="24"/>
      <c r="AV17" s="22">
        <f t="shared" si="44"/>
        <v>580.67</v>
      </c>
      <c r="AX17" s="25"/>
      <c r="BF17" s="27" t="str">
        <f t="shared" si="51"/>
        <v>#N/A</v>
      </c>
      <c r="BH17" s="49" t="s">
        <v>169</v>
      </c>
      <c r="BI17" s="110">
        <v>0.0</v>
      </c>
      <c r="BJ17" s="110">
        <v>0.0</v>
      </c>
      <c r="BK17" s="110">
        <v>0.0</v>
      </c>
      <c r="BL17" s="110">
        <v>0.0</v>
      </c>
      <c r="BM17" s="110">
        <v>0.0</v>
      </c>
      <c r="BN17" s="110">
        <v>11.860625</v>
      </c>
      <c r="BO17" s="110">
        <v>11.860625</v>
      </c>
      <c r="BR17" s="25"/>
      <c r="CF17" s="27">
        <f t="shared" ref="CF17:CK17" si="52">IFERROR(BT17/BZ17,0)</f>
        <v>0</v>
      </c>
      <c r="CG17" s="27">
        <f t="shared" si="52"/>
        <v>0</v>
      </c>
      <c r="CH17" s="27">
        <f t="shared" si="52"/>
        <v>0</v>
      </c>
      <c r="CI17" s="27">
        <f t="shared" si="52"/>
        <v>0</v>
      </c>
      <c r="CJ17" s="27">
        <f t="shared" si="52"/>
        <v>0</v>
      </c>
      <c r="CK17" s="27">
        <f t="shared" si="52"/>
        <v>0</v>
      </c>
    </row>
    <row r="18" ht="18.0" customHeight="1">
      <c r="A18" s="30" t="str">
        <f>Data2026!A24</f>
        <v>trimics2</v>
      </c>
      <c r="B18" s="9">
        <f>Data2026!B24</f>
        <v>46094</v>
      </c>
      <c r="C18" s="11" t="str">
        <f>Data2026!C24</f>
        <v>Fixed</v>
      </c>
      <c r="D18" s="12" t="str">
        <f>Data2026!D24</f>
        <v>trimics2</v>
      </c>
      <c r="E18" s="12" t="str">
        <f>Data2026!E24</f>
        <v>Nini_B</v>
      </c>
      <c r="F18" s="9">
        <f>Data2026!F24</f>
        <v>46094</v>
      </c>
      <c r="G18" s="70">
        <f>Data2026!G24</f>
        <v>3479.61</v>
      </c>
      <c r="H18" s="30" t="str">
        <f>Data2026!H24</f>
        <v>Finished</v>
      </c>
      <c r="I18" s="30" t="str">
        <f>Data2026!I24</f>
        <v>Influence</v>
      </c>
      <c r="J18" s="9">
        <f>Data2026!J24</f>
        <v>46094</v>
      </c>
      <c r="K18" s="9">
        <f>Data2026!K24</f>
        <v>46124</v>
      </c>
      <c r="L18" s="43">
        <f t="shared" si="2"/>
        <v>0</v>
      </c>
      <c r="M18" s="43">
        <f t="shared" si="3"/>
        <v>0</v>
      </c>
      <c r="N18" s="43">
        <f t="shared" si="4"/>
        <v>2203.753</v>
      </c>
      <c r="O18" s="43">
        <f t="shared" si="5"/>
        <v>1275.857</v>
      </c>
      <c r="P18" s="43">
        <f t="shared" si="6"/>
        <v>0</v>
      </c>
      <c r="Q18" s="43">
        <f t="shared" si="7"/>
        <v>0</v>
      </c>
      <c r="R18" s="49" t="str">
        <f t="shared" ref="R18:W18" si="53">SUMIF(Tableau!$A:$A,$A18,Tableau!E:E)</f>
        <v>#N/A</v>
      </c>
      <c r="S18" s="49" t="str">
        <f t="shared" si="53"/>
        <v>#N/A</v>
      </c>
      <c r="T18" s="49" t="str">
        <f t="shared" si="53"/>
        <v>#N/A</v>
      </c>
      <c r="U18" s="49" t="str">
        <f t="shared" si="53"/>
        <v>#N/A</v>
      </c>
      <c r="V18" s="49" t="str">
        <f t="shared" si="53"/>
        <v>#N/A</v>
      </c>
      <c r="W18" s="49" t="str">
        <f t="shared" si="53"/>
        <v>#N/A</v>
      </c>
      <c r="X18" s="49" t="str">
        <f t="shared" ref="X18:AC18" si="54">SUMIF(Tableau!$A:$A,$A18,Tableau!P:P)</f>
        <v>#N/A</v>
      </c>
      <c r="Y18" s="49" t="str">
        <f t="shared" si="54"/>
        <v>#N/A</v>
      </c>
      <c r="Z18" s="49" t="str">
        <f t="shared" si="54"/>
        <v>#N/A</v>
      </c>
      <c r="AA18" s="49" t="str">
        <f t="shared" si="54"/>
        <v>#N/A</v>
      </c>
      <c r="AB18" s="49" t="str">
        <f t="shared" si="54"/>
        <v>#N/A</v>
      </c>
      <c r="AC18" s="49" t="str">
        <f t="shared" si="54"/>
        <v>#N/A</v>
      </c>
      <c r="AF18" s="49"/>
      <c r="AG18" s="49"/>
      <c r="AH18" s="49"/>
      <c r="AI18" s="49"/>
      <c r="AJ18" s="49"/>
      <c r="AK18" s="49"/>
      <c r="AL18" s="104">
        <f t="shared" si="34"/>
        <v>0</v>
      </c>
      <c r="AN18" s="24"/>
      <c r="AV18" s="22">
        <f t="shared" si="44"/>
        <v>8684.782609</v>
      </c>
      <c r="AX18" s="25"/>
      <c r="BF18" s="27" t="str">
        <f t="shared" si="51"/>
        <v>#N/A</v>
      </c>
      <c r="BH18" s="49" t="s">
        <v>120</v>
      </c>
      <c r="BI18" s="110">
        <v>0.0</v>
      </c>
      <c r="BJ18" s="110">
        <v>0.0</v>
      </c>
      <c r="BK18" s="110">
        <v>0.0</v>
      </c>
      <c r="BL18" s="110">
        <v>0.0</v>
      </c>
      <c r="BM18" s="110">
        <v>335.9683794466403</v>
      </c>
      <c r="BN18" s="110">
        <v>186.33540372670808</v>
      </c>
      <c r="BO18" s="110">
        <v>222.82608695652175</v>
      </c>
      <c r="BR18" s="25"/>
      <c r="CF18" s="27">
        <f t="shared" ref="CF18:CK18" si="55">IFERROR(BT18/BZ18,0)</f>
        <v>0</v>
      </c>
      <c r="CG18" s="27">
        <f t="shared" si="55"/>
        <v>0</v>
      </c>
      <c r="CH18" s="27">
        <f t="shared" si="55"/>
        <v>0</v>
      </c>
      <c r="CI18" s="27">
        <f t="shared" si="55"/>
        <v>0</v>
      </c>
      <c r="CJ18" s="27">
        <f t="shared" si="55"/>
        <v>0</v>
      </c>
      <c r="CK18" s="27">
        <f t="shared" si="55"/>
        <v>0</v>
      </c>
    </row>
    <row r="19" ht="18.0" customHeight="1">
      <c r="A19" s="30" t="str">
        <f>Data2026!A25</f>
        <v>bboladin26</v>
      </c>
      <c r="B19" s="9">
        <f>Data2026!B25</f>
        <v>46094</v>
      </c>
      <c r="C19" s="11" t="str">
        <f>Data2026!C25</f>
        <v>Fixed</v>
      </c>
      <c r="D19" s="12" t="str">
        <f>Data2026!D25</f>
        <v>bboladin26</v>
      </c>
      <c r="E19" s="12" t="str">
        <f>Data2026!E25</f>
        <v>Nini_B</v>
      </c>
      <c r="F19" s="9">
        <f>Data2026!F25</f>
        <v>46094</v>
      </c>
      <c r="G19" s="70" t="str">
        <f>Data2026!G25</f>
        <v/>
      </c>
      <c r="H19" s="30" t="str">
        <f>Data2026!H25</f>
        <v>Finished</v>
      </c>
      <c r="I19" s="30" t="str">
        <f>Data2026!I25</f>
        <v>Influence</v>
      </c>
      <c r="J19" s="9">
        <f>Data2026!J25</f>
        <v>46094</v>
      </c>
      <c r="K19" s="9">
        <f>Data2026!K25</f>
        <v>46124</v>
      </c>
      <c r="L19" s="43">
        <f t="shared" si="2"/>
        <v>0</v>
      </c>
      <c r="M19" s="43">
        <f t="shared" si="3"/>
        <v>0</v>
      </c>
      <c r="N19" s="43">
        <f t="shared" si="4"/>
        <v>0</v>
      </c>
      <c r="O19" s="43">
        <f t="shared" si="5"/>
        <v>0</v>
      </c>
      <c r="P19" s="43">
        <f t="shared" si="6"/>
        <v>0</v>
      </c>
      <c r="Q19" s="43">
        <f t="shared" si="7"/>
        <v>0</v>
      </c>
      <c r="R19" s="49" t="str">
        <f t="shared" ref="R19:W19" si="56">SUMIF(Tableau!$A:$A,$A19,Tableau!E:E)</f>
        <v>#N/A</v>
      </c>
      <c r="S19" s="49" t="str">
        <f t="shared" si="56"/>
        <v>#N/A</v>
      </c>
      <c r="T19" s="49" t="str">
        <f t="shared" si="56"/>
        <v>#N/A</v>
      </c>
      <c r="U19" s="49" t="str">
        <f t="shared" si="56"/>
        <v>#N/A</v>
      </c>
      <c r="V19" s="49" t="str">
        <f t="shared" si="56"/>
        <v>#N/A</v>
      </c>
      <c r="W19" s="49" t="str">
        <f t="shared" si="56"/>
        <v>#N/A</v>
      </c>
      <c r="X19" s="49" t="str">
        <f t="shared" ref="X19:AC19" si="57">SUMIF(Tableau!$A:$A,$A19,Tableau!P:P)</f>
        <v>#N/A</v>
      </c>
      <c r="Y19" s="49" t="str">
        <f t="shared" si="57"/>
        <v>#N/A</v>
      </c>
      <c r="Z19" s="49" t="str">
        <f t="shared" si="57"/>
        <v>#N/A</v>
      </c>
      <c r="AA19" s="49" t="str">
        <f t="shared" si="57"/>
        <v>#N/A</v>
      </c>
      <c r="AB19" s="49" t="str">
        <f t="shared" si="57"/>
        <v>#N/A</v>
      </c>
      <c r="AC19" s="49" t="str">
        <f t="shared" si="57"/>
        <v>#N/A</v>
      </c>
      <c r="AH19" s="49"/>
      <c r="AI19" s="49"/>
      <c r="AJ19" s="49"/>
      <c r="AK19" s="49"/>
      <c r="AL19" s="56" t="s">
        <v>27</v>
      </c>
      <c r="AN19" s="24"/>
      <c r="AV19" s="22">
        <f t="shared" si="44"/>
        <v>0</v>
      </c>
      <c r="AX19" s="25"/>
      <c r="BF19" s="27" t="str">
        <f t="shared" si="51"/>
        <v>#N/A</v>
      </c>
      <c r="BH19" s="49" t="s">
        <v>174</v>
      </c>
      <c r="BI19" s="110">
        <v>0.0</v>
      </c>
      <c r="BJ19" s="110">
        <v>0.0</v>
      </c>
      <c r="BK19" s="110">
        <v>0.0</v>
      </c>
      <c r="BL19" s="110">
        <v>0.0</v>
      </c>
      <c r="BM19" s="110">
        <v>0.0</v>
      </c>
      <c r="BN19" s="110">
        <v>125.0</v>
      </c>
      <c r="BO19" s="110">
        <v>125.0</v>
      </c>
      <c r="BR19" s="25"/>
      <c r="CF19" s="27">
        <f t="shared" ref="CF19:CK19" si="58">IFERROR(BT19/BZ19,0)</f>
        <v>0</v>
      </c>
      <c r="CG19" s="27">
        <f t="shared" si="58"/>
        <v>0</v>
      </c>
      <c r="CH19" s="27">
        <f t="shared" si="58"/>
        <v>0</v>
      </c>
      <c r="CI19" s="27">
        <f t="shared" si="58"/>
        <v>0</v>
      </c>
      <c r="CJ19" s="27">
        <f t="shared" si="58"/>
        <v>0</v>
      </c>
      <c r="CK19" s="27">
        <f t="shared" si="58"/>
        <v>0</v>
      </c>
    </row>
    <row r="20" ht="18.0" customHeight="1">
      <c r="A20" s="30" t="str">
        <f>Data2026!A26</f>
        <v>Mavaads</v>
      </c>
      <c r="B20" s="9">
        <f>Data2026!B26</f>
        <v>46098</v>
      </c>
      <c r="C20" s="11" t="str">
        <f>Data2026!C26</f>
        <v>Fixed</v>
      </c>
      <c r="D20" s="12" t="str">
        <f>Data2026!D26</f>
        <v>Mavaads</v>
      </c>
      <c r="E20" s="12" t="str">
        <f>Data2026!E26</f>
        <v>Nugi</v>
      </c>
      <c r="F20" s="9">
        <f>Data2026!F26</f>
        <v>46098</v>
      </c>
      <c r="G20" s="70">
        <f>Data2026!G26</f>
        <v>11000</v>
      </c>
      <c r="H20" s="30" t="str">
        <f>Data2026!H26</f>
        <v>Finished</v>
      </c>
      <c r="I20" s="30" t="str">
        <f>Data2026!I26</f>
        <v>PPC</v>
      </c>
      <c r="J20" s="9">
        <f>Data2026!J26</f>
        <v>46098</v>
      </c>
      <c r="K20" s="9">
        <f>Data2026!K26</f>
        <v>46128</v>
      </c>
      <c r="L20" s="43">
        <f t="shared" si="2"/>
        <v>0</v>
      </c>
      <c r="M20" s="43">
        <f t="shared" si="3"/>
        <v>0</v>
      </c>
      <c r="N20" s="43">
        <f t="shared" si="4"/>
        <v>5500</v>
      </c>
      <c r="O20" s="43">
        <f t="shared" si="5"/>
        <v>5500</v>
      </c>
      <c r="P20" s="43">
        <f t="shared" si="6"/>
        <v>0</v>
      </c>
      <c r="Q20" s="43">
        <f t="shared" si="7"/>
        <v>0</v>
      </c>
      <c r="R20" s="49" t="str">
        <f t="shared" ref="R20:W20" si="59">SUMIF(Tableau!$A:$A,$A20,Tableau!E:E)</f>
        <v>#N/A</v>
      </c>
      <c r="S20" s="49" t="str">
        <f t="shared" si="59"/>
        <v>#N/A</v>
      </c>
      <c r="T20" s="49" t="str">
        <f t="shared" si="59"/>
        <v>#N/A</v>
      </c>
      <c r="U20" s="49" t="str">
        <f t="shared" si="59"/>
        <v>#N/A</v>
      </c>
      <c r="V20" s="49" t="str">
        <f t="shared" si="59"/>
        <v>#N/A</v>
      </c>
      <c r="W20" s="49" t="str">
        <f t="shared" si="59"/>
        <v>#N/A</v>
      </c>
      <c r="X20" s="49" t="str">
        <f t="shared" ref="X20:AC20" si="60">SUMIF(Tableau!$A:$A,$A20,Tableau!P:P)</f>
        <v>#N/A</v>
      </c>
      <c r="Y20" s="49" t="str">
        <f t="shared" si="60"/>
        <v>#N/A</v>
      </c>
      <c r="Z20" s="49" t="str">
        <f t="shared" si="60"/>
        <v>#N/A</v>
      </c>
      <c r="AA20" s="49" t="str">
        <f t="shared" si="60"/>
        <v>#N/A</v>
      </c>
      <c r="AB20" s="49" t="str">
        <f t="shared" si="60"/>
        <v>#N/A</v>
      </c>
      <c r="AC20" s="49" t="str">
        <f t="shared" si="60"/>
        <v>#N/A</v>
      </c>
      <c r="AH20" s="49"/>
      <c r="AI20" s="49"/>
      <c r="AJ20" s="49"/>
      <c r="AK20" s="49"/>
      <c r="AL20" s="22">
        <f t="shared" ref="AL20:AL26" si="64">SUM(AF20:AK20)</f>
        <v>0</v>
      </c>
      <c r="AN20" s="24"/>
      <c r="AV20" s="22">
        <f t="shared" si="44"/>
        <v>4000</v>
      </c>
      <c r="AX20" s="25"/>
      <c r="BF20" s="27" t="str">
        <f t="shared" si="51"/>
        <v>#N/A</v>
      </c>
      <c r="BH20" s="49" t="s">
        <v>153</v>
      </c>
      <c r="BI20" s="110">
        <v>0.0</v>
      </c>
      <c r="BJ20" s="110">
        <v>0.0</v>
      </c>
      <c r="BK20" s="110">
        <v>0.0</v>
      </c>
      <c r="BL20" s="110">
        <v>0.0</v>
      </c>
      <c r="BM20" s="110">
        <v>0.0</v>
      </c>
      <c r="BN20" s="110">
        <v>8.073103448275862</v>
      </c>
      <c r="BO20" s="110">
        <v>8.073103448275862</v>
      </c>
      <c r="BR20" s="25"/>
      <c r="CF20" s="27">
        <f t="shared" ref="CF20:CK20" si="61">IFERROR(BT20/BZ20,0)</f>
        <v>0</v>
      </c>
      <c r="CG20" s="27">
        <f t="shared" si="61"/>
        <v>0</v>
      </c>
      <c r="CH20" s="27">
        <f t="shared" si="61"/>
        <v>0</v>
      </c>
      <c r="CI20" s="27">
        <f t="shared" si="61"/>
        <v>0</v>
      </c>
      <c r="CJ20" s="27">
        <f t="shared" si="61"/>
        <v>0</v>
      </c>
      <c r="CK20" s="27">
        <f t="shared" si="61"/>
        <v>0</v>
      </c>
    </row>
    <row r="21" ht="18.0" customHeight="1">
      <c r="A21" s="30" t="str">
        <f>Data2026!A27</f>
        <v>migzparcerias</v>
      </c>
      <c r="B21" s="9">
        <f>Data2026!B27</f>
        <v>46099</v>
      </c>
      <c r="C21" s="11" t="str">
        <f>Data2026!C27</f>
        <v>Fixed</v>
      </c>
      <c r="D21" s="12" t="str">
        <f>Data2026!D27</f>
        <v>migzparcerias</v>
      </c>
      <c r="E21" s="12" t="str">
        <f>Data2026!E27</f>
        <v>Nini_B</v>
      </c>
      <c r="F21" s="9" t="str">
        <f>Data2026!F27</f>
        <v>27/06/2026</v>
      </c>
      <c r="G21" s="70">
        <f>Data2026!G27</f>
        <v>30850</v>
      </c>
      <c r="H21" s="30" t="str">
        <f>Data2026!H27</f>
        <v>Finished</v>
      </c>
      <c r="I21" s="30" t="str">
        <f>Data2026!I27</f>
        <v>Influence</v>
      </c>
      <c r="J21" s="9">
        <f>Data2026!J27</f>
        <v>46099</v>
      </c>
      <c r="K21" s="9">
        <f>Data2026!K27</f>
        <v>46209</v>
      </c>
      <c r="L21" s="43">
        <f t="shared" si="2"/>
        <v>0</v>
      </c>
      <c r="M21" s="43">
        <f t="shared" si="3"/>
        <v>0</v>
      </c>
      <c r="N21" s="43">
        <f t="shared" si="4"/>
        <v>3926.363636</v>
      </c>
      <c r="O21" s="43">
        <f t="shared" si="5"/>
        <v>8413.636364</v>
      </c>
      <c r="P21" s="43">
        <f t="shared" si="6"/>
        <v>8694.090909</v>
      </c>
      <c r="Q21" s="43">
        <f t="shared" si="7"/>
        <v>8413.636364</v>
      </c>
      <c r="R21" s="49" t="str">
        <f t="shared" ref="R21:W21" si="62">SUMIF(Tableau!$A:$A,$A21,Tableau!E:E)</f>
        <v>#N/A</v>
      </c>
      <c r="S21" s="49" t="str">
        <f t="shared" si="62"/>
        <v>#N/A</v>
      </c>
      <c r="T21" s="49" t="str">
        <f t="shared" si="62"/>
        <v>#N/A</v>
      </c>
      <c r="U21" s="49" t="str">
        <f t="shared" si="62"/>
        <v>#N/A</v>
      </c>
      <c r="V21" s="49" t="str">
        <f t="shared" si="62"/>
        <v>#N/A</v>
      </c>
      <c r="W21" s="49" t="str">
        <f t="shared" si="62"/>
        <v>#N/A</v>
      </c>
      <c r="X21" s="49" t="str">
        <f t="shared" ref="X21:AC21" si="63">SUMIF(Tableau!$A:$A,$A21,Tableau!P:P)</f>
        <v>#N/A</v>
      </c>
      <c r="Y21" s="49" t="str">
        <f t="shared" si="63"/>
        <v>#N/A</v>
      </c>
      <c r="Z21" s="49" t="str">
        <f t="shared" si="63"/>
        <v>#N/A</v>
      </c>
      <c r="AA21" s="49" t="str">
        <f t="shared" si="63"/>
        <v>#N/A</v>
      </c>
      <c r="AB21" s="49" t="str">
        <f t="shared" si="63"/>
        <v>#N/A</v>
      </c>
      <c r="AC21" s="49" t="str">
        <f t="shared" si="63"/>
        <v>#N/A</v>
      </c>
      <c r="AH21" s="49"/>
      <c r="AI21" s="49"/>
      <c r="AJ21" s="49"/>
      <c r="AK21" s="49"/>
      <c r="AL21" s="22">
        <f t="shared" si="64"/>
        <v>0</v>
      </c>
      <c r="AN21" s="24"/>
      <c r="AV21" s="22">
        <f t="shared" si="44"/>
        <v>687.07</v>
      </c>
      <c r="AX21" s="25"/>
      <c r="BF21" s="27" t="str">
        <f t="shared" si="51"/>
        <v>#N/A</v>
      </c>
      <c r="BH21" s="49" t="s">
        <v>113</v>
      </c>
      <c r="BI21" s="110">
        <v>0.0</v>
      </c>
      <c r="BJ21" s="110">
        <v>0.0</v>
      </c>
      <c r="BK21" s="110">
        <v>0.0</v>
      </c>
      <c r="BL21" s="110">
        <v>0.0</v>
      </c>
      <c r="BM21" s="110">
        <v>520.8333333333334</v>
      </c>
      <c r="BN21" s="110">
        <v>0.0</v>
      </c>
      <c r="BO21" s="110">
        <v>234.375</v>
      </c>
      <c r="BR21" s="25"/>
      <c r="CF21" s="27">
        <f t="shared" ref="CF21:CK21" si="65">IFERROR(BT21/BZ21,0)</f>
        <v>0</v>
      </c>
      <c r="CG21" s="27">
        <f t="shared" si="65"/>
        <v>0</v>
      </c>
      <c r="CH21" s="27">
        <f t="shared" si="65"/>
        <v>0</v>
      </c>
      <c r="CI21" s="27">
        <f t="shared" si="65"/>
        <v>0</v>
      </c>
      <c r="CJ21" s="27">
        <f t="shared" si="65"/>
        <v>0</v>
      </c>
      <c r="CK21" s="27">
        <f t="shared" si="65"/>
        <v>0</v>
      </c>
    </row>
    <row r="22" ht="18.0" customHeight="1">
      <c r="A22" s="30" t="str">
        <f>Data2026!A28</f>
        <v>MrBooster</v>
      </c>
      <c r="B22" s="9">
        <f>Data2026!B28</f>
        <v>46100</v>
      </c>
      <c r="C22" s="11" t="str">
        <f>Data2026!C28</f>
        <v>Fixed</v>
      </c>
      <c r="D22" s="12" t="str">
        <f>Data2026!D28</f>
        <v>MrBooster</v>
      </c>
      <c r="E22" s="12" t="str">
        <f>Data2026!E28</f>
        <v>Nini_B</v>
      </c>
      <c r="F22" s="9">
        <f>Data2026!F28</f>
        <v>46100</v>
      </c>
      <c r="G22" s="70">
        <f>Data2026!G28</f>
        <v>1663.78</v>
      </c>
      <c r="H22" s="30" t="str">
        <f>Data2026!H28</f>
        <v>Finished</v>
      </c>
      <c r="I22" s="30" t="str">
        <f>Data2026!I28</f>
        <v>Influence</v>
      </c>
      <c r="J22" s="9">
        <f>Data2026!J28</f>
        <v>46100</v>
      </c>
      <c r="K22" s="9">
        <f>Data2026!K28</f>
        <v>46130</v>
      </c>
      <c r="L22" s="43">
        <f t="shared" si="2"/>
        <v>0</v>
      </c>
      <c r="M22" s="43">
        <f t="shared" si="3"/>
        <v>0</v>
      </c>
      <c r="N22" s="43">
        <f t="shared" si="4"/>
        <v>720.9713333</v>
      </c>
      <c r="O22" s="43">
        <f t="shared" si="5"/>
        <v>942.8086667</v>
      </c>
      <c r="P22" s="43">
        <f t="shared" si="6"/>
        <v>0</v>
      </c>
      <c r="Q22" s="43">
        <f t="shared" si="7"/>
        <v>0</v>
      </c>
      <c r="R22" s="49" t="str">
        <f t="shared" ref="R22:W22" si="66">SUMIF(Tableau!$A:$A,$A22,Tableau!E:E)</f>
        <v>#N/A</v>
      </c>
      <c r="S22" s="49" t="str">
        <f t="shared" si="66"/>
        <v>#N/A</v>
      </c>
      <c r="T22" s="49" t="str">
        <f t="shared" si="66"/>
        <v>#N/A</v>
      </c>
      <c r="U22" s="49" t="str">
        <f t="shared" si="66"/>
        <v>#N/A</v>
      </c>
      <c r="V22" s="49" t="str">
        <f t="shared" si="66"/>
        <v>#N/A</v>
      </c>
      <c r="W22" s="49" t="str">
        <f t="shared" si="66"/>
        <v>#N/A</v>
      </c>
      <c r="X22" s="49" t="str">
        <f t="shared" ref="X22:AC22" si="67">SUMIF(Tableau!$A:$A,$A22,Tableau!P:P)</f>
        <v>#N/A</v>
      </c>
      <c r="Y22" s="49" t="str">
        <f t="shared" si="67"/>
        <v>#N/A</v>
      </c>
      <c r="Z22" s="49" t="str">
        <f t="shared" si="67"/>
        <v>#N/A</v>
      </c>
      <c r="AA22" s="49" t="str">
        <f t="shared" si="67"/>
        <v>#N/A</v>
      </c>
      <c r="AB22" s="49" t="str">
        <f t="shared" si="67"/>
        <v>#N/A</v>
      </c>
      <c r="AC22" s="49" t="str">
        <f t="shared" si="67"/>
        <v>#N/A</v>
      </c>
      <c r="AH22" s="49"/>
      <c r="AI22" s="49"/>
      <c r="AJ22" s="49"/>
      <c r="AK22" s="49"/>
      <c r="AL22" s="22">
        <f t="shared" si="64"/>
        <v>0</v>
      </c>
      <c r="AN22" s="24"/>
      <c r="AV22" s="22">
        <f t="shared" si="44"/>
        <v>39.51566667</v>
      </c>
      <c r="AX22" s="25"/>
      <c r="BF22" s="27" t="str">
        <f t="shared" si="51"/>
        <v>#N/A</v>
      </c>
      <c r="BH22" s="49" t="s">
        <v>85</v>
      </c>
      <c r="BI22" s="110">
        <v>0.0</v>
      </c>
      <c r="BJ22" s="110">
        <v>0.0</v>
      </c>
      <c r="BK22" s="110">
        <v>0.0</v>
      </c>
      <c r="BL22" s="110">
        <v>0.0</v>
      </c>
      <c r="BM22" s="110">
        <v>0.0</v>
      </c>
      <c r="BN22" s="110">
        <v>0.0</v>
      </c>
      <c r="BO22" s="110">
        <v>68.90700000000001</v>
      </c>
      <c r="BR22" s="25"/>
      <c r="CF22" s="27">
        <f t="shared" ref="CF22:CK22" si="68">IFERROR(BT22/BZ22,0)</f>
        <v>0</v>
      </c>
      <c r="CG22" s="27">
        <f t="shared" si="68"/>
        <v>0</v>
      </c>
      <c r="CH22" s="27">
        <f t="shared" si="68"/>
        <v>0</v>
      </c>
      <c r="CI22" s="27">
        <f t="shared" si="68"/>
        <v>0</v>
      </c>
      <c r="CJ22" s="27">
        <f t="shared" si="68"/>
        <v>0</v>
      </c>
      <c r="CK22" s="27">
        <f t="shared" si="68"/>
        <v>0</v>
      </c>
    </row>
    <row r="23" ht="18.0" customHeight="1">
      <c r="A23" s="30" t="str">
        <f t="shared" ref="A23:K23" si="69">#REF!</f>
        <v>#REF!</v>
      </c>
      <c r="B23" s="9" t="str">
        <f t="shared" si="69"/>
        <v>#REF!</v>
      </c>
      <c r="C23" s="11" t="str">
        <f t="shared" si="69"/>
        <v>#REF!</v>
      </c>
      <c r="D23" s="12" t="str">
        <f t="shared" si="69"/>
        <v>#REF!</v>
      </c>
      <c r="E23" s="12" t="str">
        <f t="shared" si="69"/>
        <v>#REF!</v>
      </c>
      <c r="F23" s="9" t="str">
        <f t="shared" si="69"/>
        <v>#REF!</v>
      </c>
      <c r="G23" s="70" t="str">
        <f t="shared" si="69"/>
        <v>#REF!</v>
      </c>
      <c r="H23" s="30" t="str">
        <f t="shared" si="69"/>
        <v>#REF!</v>
      </c>
      <c r="I23" s="30" t="str">
        <f t="shared" si="69"/>
        <v>#REF!</v>
      </c>
      <c r="J23" s="9" t="str">
        <f t="shared" si="69"/>
        <v>#REF!</v>
      </c>
      <c r="K23" s="9" t="str">
        <f t="shared" si="69"/>
        <v>#REF!</v>
      </c>
      <c r="L23" s="43" t="str">
        <f t="shared" si="2"/>
        <v>#REF!</v>
      </c>
      <c r="M23" s="43" t="str">
        <f t="shared" si="3"/>
        <v>#REF!</v>
      </c>
      <c r="N23" s="43" t="str">
        <f t="shared" si="4"/>
        <v>#REF!</v>
      </c>
      <c r="O23" s="43" t="str">
        <f t="shared" si="5"/>
        <v>#REF!</v>
      </c>
      <c r="P23" s="43" t="str">
        <f t="shared" si="6"/>
        <v>#REF!</v>
      </c>
      <c r="Q23" s="43" t="str">
        <f t="shared" si="7"/>
        <v>#REF!</v>
      </c>
      <c r="R23" s="49" t="str">
        <f t="shared" ref="R23:W23" si="70">SUMIF(Tableau!$A:$A,$A23,Tableau!E:E)</f>
        <v>#N/A</v>
      </c>
      <c r="S23" s="49" t="str">
        <f t="shared" si="70"/>
        <v>#N/A</v>
      </c>
      <c r="T23" s="49" t="str">
        <f t="shared" si="70"/>
        <v>#N/A</v>
      </c>
      <c r="U23" s="49" t="str">
        <f t="shared" si="70"/>
        <v>#N/A</v>
      </c>
      <c r="V23" s="49" t="str">
        <f t="shared" si="70"/>
        <v>#N/A</v>
      </c>
      <c r="W23" s="49" t="str">
        <f t="shared" si="70"/>
        <v>#N/A</v>
      </c>
      <c r="X23" s="49" t="str">
        <f t="shared" ref="X23:AC23" si="71">SUMIF(Tableau!$A:$A,$A23,Tableau!P:P)</f>
        <v>#N/A</v>
      </c>
      <c r="Y23" s="49" t="str">
        <f t="shared" si="71"/>
        <v>#N/A</v>
      </c>
      <c r="Z23" s="49" t="str">
        <f t="shared" si="71"/>
        <v>#N/A</v>
      </c>
      <c r="AA23" s="49" t="str">
        <f t="shared" si="71"/>
        <v>#N/A</v>
      </c>
      <c r="AB23" s="49" t="str">
        <f t="shared" si="71"/>
        <v>#N/A</v>
      </c>
      <c r="AC23" s="49" t="str">
        <f t="shared" si="71"/>
        <v>#N/A</v>
      </c>
      <c r="AH23" s="49"/>
      <c r="AI23" s="49"/>
      <c r="AJ23" s="49"/>
      <c r="AK23" s="49"/>
      <c r="AL23" s="22">
        <f t="shared" si="64"/>
        <v>0</v>
      </c>
      <c r="AN23" s="24"/>
      <c r="AV23" s="22">
        <f t="shared" si="44"/>
        <v>114.9546667</v>
      </c>
      <c r="AX23" s="25"/>
      <c r="BF23" s="27" t="str">
        <f t="shared" si="51"/>
        <v>#N/A</v>
      </c>
      <c r="BH23" s="49" t="s">
        <v>134</v>
      </c>
      <c r="BI23" s="110">
        <v>0.0</v>
      </c>
      <c r="BJ23" s="110">
        <v>0.0</v>
      </c>
      <c r="BK23" s="110">
        <v>0.0</v>
      </c>
      <c r="BL23" s="110">
        <v>0.0</v>
      </c>
      <c r="BM23" s="110">
        <v>681.8181818181819</v>
      </c>
      <c r="BN23" s="110">
        <v>0.0</v>
      </c>
      <c r="BO23" s="110">
        <v>416.6666666666667</v>
      </c>
      <c r="BR23" s="25"/>
      <c r="CF23" s="27">
        <f t="shared" ref="CF23:CK23" si="72">IFERROR(BT23/BZ23,0)</f>
        <v>0</v>
      </c>
      <c r="CG23" s="27">
        <f t="shared" si="72"/>
        <v>0</v>
      </c>
      <c r="CH23" s="27">
        <f t="shared" si="72"/>
        <v>0</v>
      </c>
      <c r="CI23" s="27">
        <f t="shared" si="72"/>
        <v>0</v>
      </c>
      <c r="CJ23" s="27">
        <f t="shared" si="72"/>
        <v>0</v>
      </c>
      <c r="CK23" s="27">
        <f t="shared" si="72"/>
        <v>0</v>
      </c>
    </row>
    <row r="24" ht="18.0" customHeight="1">
      <c r="A24" s="30" t="str">
        <f t="shared" ref="A24:K24" si="73">#REF!</f>
        <v>#REF!</v>
      </c>
      <c r="B24" s="9" t="str">
        <f t="shared" si="73"/>
        <v>#REF!</v>
      </c>
      <c r="C24" s="11" t="str">
        <f t="shared" si="73"/>
        <v>#REF!</v>
      </c>
      <c r="D24" s="12" t="str">
        <f t="shared" si="73"/>
        <v>#REF!</v>
      </c>
      <c r="E24" s="12" t="str">
        <f t="shared" si="73"/>
        <v>#REF!</v>
      </c>
      <c r="F24" s="9" t="str">
        <f t="shared" si="73"/>
        <v>#REF!</v>
      </c>
      <c r="G24" s="70" t="str">
        <f t="shared" si="73"/>
        <v>#REF!</v>
      </c>
      <c r="H24" s="30" t="str">
        <f t="shared" si="73"/>
        <v>#REF!</v>
      </c>
      <c r="I24" s="30" t="str">
        <f t="shared" si="73"/>
        <v>#REF!</v>
      </c>
      <c r="J24" s="9" t="str">
        <f t="shared" si="73"/>
        <v>#REF!</v>
      </c>
      <c r="K24" s="9" t="str">
        <f t="shared" si="73"/>
        <v>#REF!</v>
      </c>
      <c r="L24" s="43" t="str">
        <f t="shared" si="2"/>
        <v>#REF!</v>
      </c>
      <c r="M24" s="43" t="str">
        <f t="shared" si="3"/>
        <v>#REF!</v>
      </c>
      <c r="N24" s="43" t="str">
        <f t="shared" si="4"/>
        <v>#REF!</v>
      </c>
      <c r="O24" s="43" t="str">
        <f t="shared" si="5"/>
        <v>#REF!</v>
      </c>
      <c r="P24" s="43" t="str">
        <f t="shared" si="6"/>
        <v>#REF!</v>
      </c>
      <c r="Q24" s="43" t="str">
        <f t="shared" si="7"/>
        <v>#REF!</v>
      </c>
      <c r="W24" s="49" t="str">
        <f t="shared" ref="W24:W25" si="77">SUMIF(Tableau!$A:$A,$A24,Tableau!J:J)</f>
        <v>#N/A</v>
      </c>
      <c r="X24" s="49" t="str">
        <f t="shared" ref="X24:AC24" si="74">SUMIF(Tableau!$A:$A,$A24,Tableau!P:P)</f>
        <v>#N/A</v>
      </c>
      <c r="Y24" s="49" t="str">
        <f t="shared" si="74"/>
        <v>#N/A</v>
      </c>
      <c r="Z24" s="49" t="str">
        <f t="shared" si="74"/>
        <v>#N/A</v>
      </c>
      <c r="AA24" s="49" t="str">
        <f t="shared" si="74"/>
        <v>#N/A</v>
      </c>
      <c r="AB24" s="49" t="str">
        <f t="shared" si="74"/>
        <v>#N/A</v>
      </c>
      <c r="AC24" s="49" t="str">
        <f t="shared" si="74"/>
        <v>#N/A</v>
      </c>
      <c r="AH24" s="49"/>
      <c r="AI24" s="49"/>
      <c r="AJ24" s="49"/>
      <c r="AK24" s="49"/>
      <c r="AL24" s="22">
        <f t="shared" si="64"/>
        <v>0</v>
      </c>
      <c r="AN24" s="24"/>
      <c r="AV24" s="22">
        <f t="shared" si="44"/>
        <v>3359.901099</v>
      </c>
      <c r="AX24" s="25"/>
      <c r="BF24" s="27" t="str">
        <f t="shared" si="51"/>
        <v>#N/A</v>
      </c>
      <c r="BH24" s="49" t="s">
        <v>159</v>
      </c>
      <c r="BI24" s="110">
        <v>0.0</v>
      </c>
      <c r="BJ24" s="110">
        <v>0.0</v>
      </c>
      <c r="BK24" s="110">
        <v>0.0</v>
      </c>
      <c r="BL24" s="110">
        <v>0.0</v>
      </c>
      <c r="BM24" s="110">
        <v>0.0</v>
      </c>
      <c r="BN24" s="110">
        <v>39.77166666666667</v>
      </c>
      <c r="BO24" s="110">
        <v>39.77166666666667</v>
      </c>
      <c r="BR24" s="25"/>
      <c r="CF24" s="27">
        <f t="shared" ref="CF24:CK24" si="75">IFERROR(BT24/BZ24,0)</f>
        <v>0</v>
      </c>
      <c r="CG24" s="27">
        <f t="shared" si="75"/>
        <v>0</v>
      </c>
      <c r="CH24" s="27">
        <f t="shared" si="75"/>
        <v>0</v>
      </c>
      <c r="CI24" s="27">
        <f t="shared" si="75"/>
        <v>0</v>
      </c>
      <c r="CJ24" s="27">
        <f t="shared" si="75"/>
        <v>0</v>
      </c>
      <c r="CK24" s="27">
        <f t="shared" si="75"/>
        <v>0</v>
      </c>
    </row>
    <row r="25" ht="18.0" customHeight="1">
      <c r="A25" s="30" t="str">
        <f>Data2026!A29</f>
        <v>SharkLink</v>
      </c>
      <c r="B25" s="9">
        <f>Data2026!B29</f>
        <v>46105</v>
      </c>
      <c r="C25" s="11" t="str">
        <f>Data2026!C29</f>
        <v>CPA</v>
      </c>
      <c r="D25" s="12" t="str">
        <f>Data2026!D29</f>
        <v>SharkLink</v>
      </c>
      <c r="E25" s="12" t="str">
        <f>Data2026!E29</f>
        <v>Nini_B</v>
      </c>
      <c r="F25" s="9">
        <f>Data2026!F29</f>
        <v>46105</v>
      </c>
      <c r="G25" s="70">
        <f>Data2026!G29</f>
        <v>14492.91</v>
      </c>
      <c r="H25" s="30" t="str">
        <f>Data2026!H29</f>
        <v>Finished</v>
      </c>
      <c r="I25" s="30" t="str">
        <f>Data2026!I29</f>
        <v>Meta</v>
      </c>
      <c r="J25" s="9">
        <f>Data2026!J29</f>
        <v>46097</v>
      </c>
      <c r="K25" s="9">
        <f>Data2026!K29</f>
        <v>46129</v>
      </c>
      <c r="L25" s="43">
        <f t="shared" si="2"/>
        <v>0</v>
      </c>
      <c r="M25" s="43">
        <f t="shared" si="3"/>
        <v>0</v>
      </c>
      <c r="N25" s="43">
        <f t="shared" si="4"/>
        <v>7246.455</v>
      </c>
      <c r="O25" s="43">
        <f t="shared" si="5"/>
        <v>7246.455</v>
      </c>
      <c r="P25" s="43">
        <f t="shared" si="6"/>
        <v>0</v>
      </c>
      <c r="Q25" s="43">
        <f t="shared" si="7"/>
        <v>0</v>
      </c>
      <c r="R25" s="49" t="str">
        <f t="shared" ref="R25:T25" si="76">SUMIF(Tableau!$A:$A,$A25,Tableau!E:E)</f>
        <v>#N/A</v>
      </c>
      <c r="S25" s="49" t="str">
        <f t="shared" si="76"/>
        <v>#N/A</v>
      </c>
      <c r="T25" s="49" t="str">
        <f t="shared" si="76"/>
        <v>#N/A</v>
      </c>
      <c r="W25" s="49" t="str">
        <f t="shared" si="77"/>
        <v>#N/A</v>
      </c>
      <c r="X25" s="49" t="str">
        <f t="shared" ref="X25:AC25" si="78">SUMIF(Tableau!$A:$A,$A25,Tableau!P:P)</f>
        <v>#N/A</v>
      </c>
      <c r="Y25" s="49" t="str">
        <f t="shared" si="78"/>
        <v>#N/A</v>
      </c>
      <c r="Z25" s="49" t="str">
        <f t="shared" si="78"/>
        <v>#N/A</v>
      </c>
      <c r="AA25" s="49" t="str">
        <f t="shared" si="78"/>
        <v>#N/A</v>
      </c>
      <c r="AB25" s="49" t="str">
        <f t="shared" si="78"/>
        <v>#N/A</v>
      </c>
      <c r="AC25" s="49" t="str">
        <f t="shared" si="78"/>
        <v>#N/A</v>
      </c>
      <c r="AH25" s="49"/>
      <c r="AI25" s="49"/>
      <c r="AJ25" s="49"/>
      <c r="AK25" s="49"/>
      <c r="AL25" s="22">
        <f t="shared" si="64"/>
        <v>0</v>
      </c>
      <c r="AN25" s="24"/>
      <c r="AV25" s="22">
        <f t="shared" si="44"/>
        <v>1316.54325</v>
      </c>
      <c r="AX25" s="25"/>
      <c r="BF25" s="27" t="str">
        <f t="shared" si="51"/>
        <v>#N/A</v>
      </c>
      <c r="BH25" s="49" t="s">
        <v>178</v>
      </c>
      <c r="BI25" s="110">
        <v>0.0</v>
      </c>
      <c r="BJ25" s="110">
        <v>0.0</v>
      </c>
      <c r="BK25" s="110">
        <v>0.0</v>
      </c>
      <c r="BL25" s="110">
        <v>0.0</v>
      </c>
      <c r="BM25" s="110">
        <v>0.0</v>
      </c>
      <c r="BN25" s="110">
        <v>6.8972</v>
      </c>
      <c r="BO25" s="110">
        <v>6.8972</v>
      </c>
      <c r="BR25" s="25"/>
      <c r="CF25" s="27">
        <f t="shared" ref="CF25:CK25" si="79">IFERROR(BT25/BZ25,0)</f>
        <v>0</v>
      </c>
      <c r="CG25" s="27">
        <f t="shared" si="79"/>
        <v>0</v>
      </c>
      <c r="CH25" s="27">
        <f t="shared" si="79"/>
        <v>0</v>
      </c>
      <c r="CI25" s="27">
        <f t="shared" si="79"/>
        <v>0</v>
      </c>
      <c r="CJ25" s="27">
        <f t="shared" si="79"/>
        <v>0</v>
      </c>
      <c r="CK25" s="27">
        <f t="shared" si="79"/>
        <v>0</v>
      </c>
    </row>
    <row r="26" ht="18.0" customHeight="1">
      <c r="A26" s="30" t="str">
        <f>Data2026!A30</f>
        <v>moneturn</v>
      </c>
      <c r="B26" s="9">
        <f>Data2026!B30</f>
        <v>46106</v>
      </c>
      <c r="C26" s="11" t="str">
        <f>Data2026!C30</f>
        <v>Fixed</v>
      </c>
      <c r="D26" s="12" t="str">
        <f>Data2026!D30</f>
        <v>moneturn</v>
      </c>
      <c r="E26" s="12" t="str">
        <f>Data2026!E30</f>
        <v>Elene_Gh</v>
      </c>
      <c r="F26" s="9">
        <f>Data2026!F30</f>
        <v>46106</v>
      </c>
      <c r="G26" s="70">
        <f>Data2026!G30</f>
        <v>1000</v>
      </c>
      <c r="H26" s="30" t="str">
        <f>Data2026!H30</f>
        <v>Finished</v>
      </c>
      <c r="I26" s="30" t="str">
        <f>Data2026!I30</f>
        <v>SEO</v>
      </c>
      <c r="J26" s="9">
        <f>Data2026!J30</f>
        <v>46097</v>
      </c>
      <c r="K26" s="9">
        <f>Data2026!K30</f>
        <v>46129</v>
      </c>
      <c r="L26" s="43">
        <f t="shared" si="2"/>
        <v>0</v>
      </c>
      <c r="M26" s="43">
        <f t="shared" si="3"/>
        <v>0</v>
      </c>
      <c r="N26" s="43">
        <f t="shared" si="4"/>
        <v>500</v>
      </c>
      <c r="O26" s="43">
        <f t="shared" si="5"/>
        <v>500</v>
      </c>
      <c r="P26" s="43">
        <f t="shared" si="6"/>
        <v>0</v>
      </c>
      <c r="Q26" s="43">
        <f t="shared" si="7"/>
        <v>0</v>
      </c>
      <c r="R26" s="49" t="str">
        <f t="shared" ref="R26:W26" si="80">SUMIF(Tableau!$A:$A,$A26,Tableau!E:E)</f>
        <v>#N/A</v>
      </c>
      <c r="S26" s="49" t="str">
        <f t="shared" si="80"/>
        <v>#N/A</v>
      </c>
      <c r="T26" s="49" t="str">
        <f t="shared" si="80"/>
        <v>#N/A</v>
      </c>
      <c r="U26" s="49" t="str">
        <f t="shared" si="80"/>
        <v>#N/A</v>
      </c>
      <c r="V26" s="49" t="str">
        <f t="shared" si="80"/>
        <v>#N/A</v>
      </c>
      <c r="W26" s="49" t="str">
        <f t="shared" si="80"/>
        <v>#N/A</v>
      </c>
      <c r="X26" s="49" t="str">
        <f t="shared" ref="X26:AC26" si="81">SUMIF(Tableau!$A:$A,$A26,Tableau!P:P)</f>
        <v>#N/A</v>
      </c>
      <c r="Y26" s="49" t="str">
        <f t="shared" si="81"/>
        <v>#N/A</v>
      </c>
      <c r="Z26" s="49" t="str">
        <f t="shared" si="81"/>
        <v>#N/A</v>
      </c>
      <c r="AA26" s="49" t="str">
        <f t="shared" si="81"/>
        <v>#N/A</v>
      </c>
      <c r="AB26" s="49" t="str">
        <f t="shared" si="81"/>
        <v>#N/A</v>
      </c>
      <c r="AC26" s="49" t="str">
        <f t="shared" si="81"/>
        <v>#N/A</v>
      </c>
      <c r="AH26" s="49"/>
      <c r="AI26" s="49"/>
      <c r="AJ26" s="49"/>
      <c r="AK26" s="49"/>
      <c r="AL26" s="22">
        <f t="shared" si="64"/>
        <v>0</v>
      </c>
      <c r="AN26" s="24"/>
      <c r="AV26" s="22">
        <f t="shared" si="44"/>
        <v>429.35</v>
      </c>
      <c r="AX26" s="25"/>
      <c r="BF26" s="27" t="str">
        <f t="shared" si="51"/>
        <v>#N/A</v>
      </c>
      <c r="BH26" s="49" t="s">
        <v>149</v>
      </c>
      <c r="BI26" s="110">
        <v>0.0</v>
      </c>
      <c r="BJ26" s="110">
        <v>0.0</v>
      </c>
      <c r="BK26" s="110">
        <v>0.0</v>
      </c>
      <c r="BL26" s="110">
        <v>0.0</v>
      </c>
      <c r="BM26" s="110">
        <v>0.0</v>
      </c>
      <c r="BN26" s="110">
        <v>142.15241379310345</v>
      </c>
      <c r="BO26" s="110">
        <v>142.15241379310345</v>
      </c>
      <c r="BR26" s="25"/>
      <c r="CF26" s="27">
        <f t="shared" ref="CF26:CK26" si="82">IFERROR(BT26/BZ26,0)</f>
        <v>0</v>
      </c>
      <c r="CG26" s="27">
        <f t="shared" si="82"/>
        <v>0</v>
      </c>
      <c r="CH26" s="27">
        <f t="shared" si="82"/>
        <v>0</v>
      </c>
      <c r="CI26" s="27">
        <f t="shared" si="82"/>
        <v>0</v>
      </c>
      <c r="CJ26" s="27">
        <f t="shared" si="82"/>
        <v>0</v>
      </c>
      <c r="CK26" s="27">
        <f t="shared" si="82"/>
        <v>0</v>
      </c>
    </row>
    <row r="27" ht="18.0" customHeight="1">
      <c r="A27" s="30" t="str">
        <f>Data2026!A31</f>
        <v>MightyCasino</v>
      </c>
      <c r="B27" s="9">
        <f>Data2026!B31</f>
        <v>46108</v>
      </c>
      <c r="C27" s="11" t="str">
        <f>Data2026!C31</f>
        <v>Fixed</v>
      </c>
      <c r="D27" s="12" t="str">
        <f>Data2026!D31</f>
        <v>MightyCasino</v>
      </c>
      <c r="E27" s="12" t="str">
        <f>Data2026!E31</f>
        <v>Nini_B</v>
      </c>
      <c r="F27" s="9">
        <f>Data2026!F31</f>
        <v>46108</v>
      </c>
      <c r="G27" s="70">
        <f>Data2026!G31</f>
        <v>300</v>
      </c>
      <c r="H27" s="30" t="str">
        <f>Data2026!H31</f>
        <v>Finished</v>
      </c>
      <c r="I27" s="30" t="str">
        <f>Data2026!I31</f>
        <v>SEO</v>
      </c>
      <c r="J27" s="9">
        <f>Data2026!J31</f>
        <v>46097</v>
      </c>
      <c r="K27" s="9">
        <f>Data2026!K31</f>
        <v>46129</v>
      </c>
      <c r="L27" s="43">
        <f t="shared" si="2"/>
        <v>0</v>
      </c>
      <c r="M27" s="43">
        <f t="shared" si="3"/>
        <v>0</v>
      </c>
      <c r="N27" s="43">
        <f t="shared" si="4"/>
        <v>150</v>
      </c>
      <c r="O27" s="43">
        <f t="shared" si="5"/>
        <v>150</v>
      </c>
      <c r="P27" s="43">
        <f t="shared" si="6"/>
        <v>0</v>
      </c>
      <c r="Q27" s="43">
        <f t="shared" si="7"/>
        <v>0</v>
      </c>
      <c r="R27" s="49" t="str">
        <f t="shared" ref="R27:W27" si="83">SUMIF(Tableau!$A:$A,$A27,Tableau!E:E)</f>
        <v>#N/A</v>
      </c>
      <c r="S27" s="49" t="str">
        <f t="shared" si="83"/>
        <v>#N/A</v>
      </c>
      <c r="T27" s="49" t="str">
        <f t="shared" si="83"/>
        <v>#N/A</v>
      </c>
      <c r="U27" s="49" t="str">
        <f t="shared" si="83"/>
        <v>#N/A</v>
      </c>
      <c r="V27" s="49" t="str">
        <f t="shared" si="83"/>
        <v>#N/A</v>
      </c>
      <c r="W27" s="49" t="str">
        <f t="shared" si="83"/>
        <v>#N/A</v>
      </c>
      <c r="X27" s="49" t="str">
        <f t="shared" ref="X27:AC27" si="84">SUMIF(Tableau!$A:$A,$A27,Tableau!P:P)</f>
        <v>#N/A</v>
      </c>
      <c r="Y27" s="49" t="str">
        <f t="shared" si="84"/>
        <v>#N/A</v>
      </c>
      <c r="Z27" s="49" t="str">
        <f t="shared" si="84"/>
        <v>#N/A</v>
      </c>
      <c r="AA27" s="49" t="str">
        <f t="shared" si="84"/>
        <v>#N/A</v>
      </c>
      <c r="AB27" s="49" t="str">
        <f t="shared" si="84"/>
        <v>#N/A</v>
      </c>
      <c r="AC27" s="49" t="str">
        <f t="shared" si="84"/>
        <v>#N/A</v>
      </c>
      <c r="AH27" s="49"/>
      <c r="AI27" s="49"/>
      <c r="AJ27" s="49"/>
      <c r="AK27" s="49"/>
      <c r="AL27" s="104">
        <f>SUM(AL20:AL26)</f>
        <v>0</v>
      </c>
      <c r="AN27" s="24"/>
      <c r="AV27" s="22">
        <f t="shared" si="44"/>
        <v>594.67</v>
      </c>
      <c r="AX27" s="25"/>
      <c r="BF27" s="27" t="str">
        <f t="shared" si="51"/>
        <v>#N/A</v>
      </c>
      <c r="BH27" s="49" t="s">
        <v>157</v>
      </c>
      <c r="BI27" s="110">
        <v>0.0</v>
      </c>
      <c r="BJ27" s="110">
        <v>0.0</v>
      </c>
      <c r="BK27" s="110">
        <v>0.0</v>
      </c>
      <c r="BL27" s="110">
        <v>0.0</v>
      </c>
      <c r="BM27" s="110">
        <v>0.0</v>
      </c>
      <c r="BN27" s="110">
        <v>80.15172413793103</v>
      </c>
      <c r="BO27" s="110">
        <v>80.15172413793103</v>
      </c>
      <c r="BR27" s="25"/>
      <c r="CF27" s="27">
        <f t="shared" ref="CF27:CK27" si="85">IFERROR(BT27/BZ27,0)</f>
        <v>0</v>
      </c>
      <c r="CG27" s="27">
        <f t="shared" si="85"/>
        <v>0</v>
      </c>
      <c r="CH27" s="27">
        <f t="shared" si="85"/>
        <v>0</v>
      </c>
      <c r="CI27" s="27">
        <f t="shared" si="85"/>
        <v>0</v>
      </c>
      <c r="CJ27" s="27">
        <f t="shared" si="85"/>
        <v>0</v>
      </c>
      <c r="CK27" s="27">
        <f t="shared" si="85"/>
        <v>0</v>
      </c>
    </row>
    <row r="28" ht="18.0" customHeight="1">
      <c r="A28" s="30" t="str">
        <f>Data2026!A32</f>
        <v>VALECHOBERK</v>
      </c>
      <c r="B28" s="9">
        <f>Data2026!B32</f>
        <v>46119</v>
      </c>
      <c r="C28" s="11" t="str">
        <f>Data2026!C32</f>
        <v>Fixed</v>
      </c>
      <c r="D28" s="12" t="str">
        <f>Data2026!D32</f>
        <v>VALECHOBERK</v>
      </c>
      <c r="E28" s="12" t="str">
        <f>Data2026!E32</f>
        <v>Nini_B</v>
      </c>
      <c r="F28" s="9">
        <f>Data2026!F32</f>
        <v>46119</v>
      </c>
      <c r="G28" s="70">
        <f>Data2026!G32</f>
        <v>900</v>
      </c>
      <c r="H28" s="30" t="str">
        <f>Data2026!H32</f>
        <v>Finished</v>
      </c>
      <c r="I28" s="30" t="str">
        <f>Data2026!I32</f>
        <v>Influence</v>
      </c>
      <c r="J28" s="9">
        <f>Data2026!J32</f>
        <v>46130</v>
      </c>
      <c r="K28" s="9">
        <f>Data2026!K32</f>
        <v>46145</v>
      </c>
      <c r="L28" s="43">
        <f t="shared" si="2"/>
        <v>0</v>
      </c>
      <c r="M28" s="43">
        <f t="shared" si="3"/>
        <v>0</v>
      </c>
      <c r="N28" s="43">
        <f t="shared" si="4"/>
        <v>0</v>
      </c>
      <c r="O28" s="43">
        <f t="shared" si="5"/>
        <v>780</v>
      </c>
      <c r="P28" s="43">
        <f t="shared" si="6"/>
        <v>120</v>
      </c>
      <c r="Q28" s="43">
        <f t="shared" si="7"/>
        <v>0</v>
      </c>
      <c r="R28" s="49" t="str">
        <f t="shared" ref="R28:W28" si="86">SUMIF(Tableau!$A:$A,$A28,Tableau!E:E)</f>
        <v>#N/A</v>
      </c>
      <c r="S28" s="49" t="str">
        <f t="shared" si="86"/>
        <v>#N/A</v>
      </c>
      <c r="T28" s="49" t="str">
        <f t="shared" si="86"/>
        <v>#N/A</v>
      </c>
      <c r="U28" s="49" t="str">
        <f t="shared" si="86"/>
        <v>#N/A</v>
      </c>
      <c r="V28" s="49" t="str">
        <f t="shared" si="86"/>
        <v>#N/A</v>
      </c>
      <c r="W28" s="49" t="str">
        <f t="shared" si="86"/>
        <v>#N/A</v>
      </c>
      <c r="X28" s="49" t="str">
        <f t="shared" ref="X28:AC28" si="87">SUMIF(Tableau!$A:$A,$A28,Tableau!P:P)</f>
        <v>#N/A</v>
      </c>
      <c r="Y28" s="49" t="str">
        <f t="shared" si="87"/>
        <v>#N/A</v>
      </c>
      <c r="Z28" s="49" t="str">
        <f t="shared" si="87"/>
        <v>#N/A</v>
      </c>
      <c r="AA28" s="49" t="str">
        <f t="shared" si="87"/>
        <v>#N/A</v>
      </c>
      <c r="AB28" s="49" t="str">
        <f t="shared" si="87"/>
        <v>#N/A</v>
      </c>
      <c r="AC28" s="49" t="str">
        <f t="shared" si="87"/>
        <v>#N/A</v>
      </c>
      <c r="AH28" s="56" t="s">
        <v>266</v>
      </c>
      <c r="AI28" s="56" t="s">
        <v>360</v>
      </c>
      <c r="AJ28" s="56" t="s">
        <v>268</v>
      </c>
      <c r="AK28" s="56" t="s">
        <v>269</v>
      </c>
      <c r="AL28" s="56" t="s">
        <v>27</v>
      </c>
      <c r="AN28" s="24"/>
      <c r="AV28" s="22">
        <f t="shared" si="44"/>
        <v>233.233</v>
      </c>
      <c r="AX28" s="25"/>
      <c r="BF28" s="27" t="str">
        <f t="shared" si="51"/>
        <v>#N/A</v>
      </c>
      <c r="BH28" s="49" t="s">
        <v>132</v>
      </c>
      <c r="BI28" s="110">
        <v>0.0</v>
      </c>
      <c r="BJ28" s="110">
        <v>0.0</v>
      </c>
      <c r="BK28" s="110">
        <v>0.0</v>
      </c>
      <c r="BL28" s="110">
        <v>0.0</v>
      </c>
      <c r="BM28" s="110">
        <v>51.5625</v>
      </c>
      <c r="BN28" s="110">
        <v>0.0</v>
      </c>
      <c r="BO28" s="110">
        <v>49.107142857142854</v>
      </c>
      <c r="BR28" s="25"/>
      <c r="CF28" s="27">
        <f t="shared" ref="CF28:CK28" si="88">IFERROR(BT28/BZ28,0)</f>
        <v>0</v>
      </c>
      <c r="CG28" s="27">
        <f t="shared" si="88"/>
        <v>0</v>
      </c>
      <c r="CH28" s="27">
        <f t="shared" si="88"/>
        <v>0</v>
      </c>
      <c r="CI28" s="27">
        <f t="shared" si="88"/>
        <v>0</v>
      </c>
      <c r="CJ28" s="27">
        <f t="shared" si="88"/>
        <v>0</v>
      </c>
      <c r="CK28" s="27">
        <f t="shared" si="88"/>
        <v>0</v>
      </c>
    </row>
    <row r="29" ht="18.0" customHeight="1">
      <c r="A29" s="30" t="str">
        <f>Data2026!A33</f>
        <v>Rayconeta</v>
      </c>
      <c r="B29" s="9">
        <f>Data2026!B33</f>
        <v>46120</v>
      </c>
      <c r="C29" s="11" t="str">
        <f>Data2026!C33</f>
        <v>Fixed</v>
      </c>
      <c r="D29" s="12" t="str">
        <f>Data2026!D33</f>
        <v>Rayconeta</v>
      </c>
      <c r="E29" s="12" t="str">
        <f>Data2026!E33</f>
        <v>Elene_Gh</v>
      </c>
      <c r="F29" s="9">
        <f>Data2026!F33</f>
        <v>46120</v>
      </c>
      <c r="G29" s="70">
        <f>Data2026!G33</f>
        <v>2708.04</v>
      </c>
      <c r="H29" s="30" t="str">
        <f>Data2026!H33</f>
        <v>Finished</v>
      </c>
      <c r="I29" s="30" t="str">
        <f>Data2026!I33</f>
        <v>Influence</v>
      </c>
      <c r="J29" s="9">
        <f>Data2026!J33</f>
        <v>46121</v>
      </c>
      <c r="K29" s="9">
        <f>Data2026!K33</f>
        <v>46141</v>
      </c>
      <c r="L29" s="43">
        <f t="shared" si="2"/>
        <v>0</v>
      </c>
      <c r="M29" s="43">
        <f t="shared" si="3"/>
        <v>0</v>
      </c>
      <c r="N29" s="43">
        <f t="shared" si="4"/>
        <v>0</v>
      </c>
      <c r="O29" s="43">
        <f t="shared" si="5"/>
        <v>2708.04</v>
      </c>
      <c r="P29" s="43">
        <f t="shared" si="6"/>
        <v>0</v>
      </c>
      <c r="Q29" s="43">
        <f t="shared" si="7"/>
        <v>0</v>
      </c>
      <c r="R29" s="49" t="str">
        <f t="shared" ref="R29:W29" si="89">SUMIF(Tableau!$A:$A,$A29,Tableau!E:E)</f>
        <v>#N/A</v>
      </c>
      <c r="S29" s="49" t="str">
        <f t="shared" si="89"/>
        <v>#N/A</v>
      </c>
      <c r="T29" s="49" t="str">
        <f t="shared" si="89"/>
        <v>#N/A</v>
      </c>
      <c r="U29" s="49" t="str">
        <f t="shared" si="89"/>
        <v>#N/A</v>
      </c>
      <c r="V29" s="49" t="str">
        <f t="shared" si="89"/>
        <v>#N/A</v>
      </c>
      <c r="W29" s="49" t="str">
        <f t="shared" si="89"/>
        <v>#N/A</v>
      </c>
      <c r="X29" s="49" t="str">
        <f t="shared" ref="X29:AC29" si="90">SUMIF(Tableau!$A:$A,$A29,Tableau!P:P)</f>
        <v>#N/A</v>
      </c>
      <c r="Y29" s="49" t="str">
        <f t="shared" si="90"/>
        <v>#N/A</v>
      </c>
      <c r="Z29" s="49" t="str">
        <f t="shared" si="90"/>
        <v>#N/A</v>
      </c>
      <c r="AA29" s="49" t="str">
        <f t="shared" si="90"/>
        <v>#N/A</v>
      </c>
      <c r="AB29" s="49" t="str">
        <f t="shared" si="90"/>
        <v>#N/A</v>
      </c>
      <c r="AC29" s="49" t="str">
        <f t="shared" si="90"/>
        <v>#N/A</v>
      </c>
      <c r="AE29" s="22" t="s">
        <v>82</v>
      </c>
      <c r="AF29" s="22">
        <f t="shared" ref="AF29:AL29" si="91">IFERROR(AF11/AF20,0)</f>
        <v>0</v>
      </c>
      <c r="AG29" s="22">
        <f t="shared" si="91"/>
        <v>0</v>
      </c>
      <c r="AH29" s="22">
        <f t="shared" si="91"/>
        <v>0</v>
      </c>
      <c r="AI29" s="22">
        <f t="shared" si="91"/>
        <v>0</v>
      </c>
      <c r="AJ29" s="22">
        <f t="shared" si="91"/>
        <v>0</v>
      </c>
      <c r="AK29" s="22">
        <f t="shared" si="91"/>
        <v>0</v>
      </c>
      <c r="AL29" s="22">
        <f t="shared" si="91"/>
        <v>0</v>
      </c>
      <c r="AN29" s="24"/>
      <c r="AV29" s="22">
        <f t="shared" si="44"/>
        <v>1759.75</v>
      </c>
      <c r="AX29" s="25"/>
      <c r="BF29" s="27" t="str">
        <f t="shared" si="51"/>
        <v>#N/A</v>
      </c>
      <c r="BH29" s="49" t="s">
        <v>150</v>
      </c>
      <c r="BI29" s="110">
        <v>0.0</v>
      </c>
      <c r="BJ29" s="110">
        <v>0.0</v>
      </c>
      <c r="BK29" s="110">
        <v>0.0</v>
      </c>
      <c r="BL29" s="110">
        <v>0.0</v>
      </c>
      <c r="BM29" s="110">
        <v>0.0</v>
      </c>
      <c r="BN29" s="110">
        <v>603.8786206896552</v>
      </c>
      <c r="BO29" s="110">
        <v>603.8786206896552</v>
      </c>
      <c r="BR29" s="25"/>
      <c r="CF29" s="27">
        <f t="shared" ref="CF29:CK29" si="92">IFERROR(BT29/BZ29,0)</f>
        <v>0</v>
      </c>
      <c r="CG29" s="27">
        <f t="shared" si="92"/>
        <v>0</v>
      </c>
      <c r="CH29" s="27">
        <f t="shared" si="92"/>
        <v>0</v>
      </c>
      <c r="CI29" s="27">
        <f t="shared" si="92"/>
        <v>0</v>
      </c>
      <c r="CJ29" s="27">
        <f t="shared" si="92"/>
        <v>0</v>
      </c>
      <c r="CK29" s="27">
        <f t="shared" si="92"/>
        <v>0</v>
      </c>
    </row>
    <row r="30" ht="18.0" customHeight="1">
      <c r="A30" s="30" t="str">
        <f>Data2026!A34</f>
        <v>seobroCA</v>
      </c>
      <c r="B30" s="9">
        <f>Data2026!B34</f>
        <v>46120</v>
      </c>
      <c r="C30" s="11" t="str">
        <f>Data2026!C34</f>
        <v>Fixed</v>
      </c>
      <c r="D30" s="12" t="str">
        <f>Data2026!D34</f>
        <v>seobroCA</v>
      </c>
      <c r="E30" s="12" t="str">
        <f>Data2026!E34</f>
        <v>Nini_B</v>
      </c>
      <c r="F30" s="9">
        <f>Data2026!F34</f>
        <v>46120</v>
      </c>
      <c r="G30" s="70">
        <f>Data2026!G34</f>
        <v>2000</v>
      </c>
      <c r="H30" s="30" t="str">
        <f>Data2026!H34</f>
        <v>Finished</v>
      </c>
      <c r="I30" s="30" t="str">
        <f>Data2026!I34</f>
        <v>SEO</v>
      </c>
      <c r="J30" s="9">
        <f>Data2026!J34</f>
        <v>46143</v>
      </c>
      <c r="K30" s="9">
        <f>Data2026!K34</f>
        <v>46173</v>
      </c>
      <c r="L30" s="43">
        <f t="shared" si="2"/>
        <v>0</v>
      </c>
      <c r="M30" s="43">
        <f t="shared" si="3"/>
        <v>0</v>
      </c>
      <c r="N30" s="43">
        <f t="shared" si="4"/>
        <v>0</v>
      </c>
      <c r="O30" s="43">
        <f t="shared" si="5"/>
        <v>0</v>
      </c>
      <c r="P30" s="43">
        <f t="shared" si="6"/>
        <v>2000</v>
      </c>
      <c r="Q30" s="43">
        <f t="shared" si="7"/>
        <v>0</v>
      </c>
      <c r="R30" s="49" t="str">
        <f t="shared" ref="R30:W30" si="93">SUMIF(Tableau!$A:$A,$A30,Tableau!E:E)</f>
        <v>#N/A</v>
      </c>
      <c r="S30" s="49" t="str">
        <f t="shared" si="93"/>
        <v>#N/A</v>
      </c>
      <c r="T30" s="49" t="str">
        <f t="shared" si="93"/>
        <v>#N/A</v>
      </c>
      <c r="U30" s="49" t="str">
        <f t="shared" si="93"/>
        <v>#N/A</v>
      </c>
      <c r="V30" s="49" t="str">
        <f t="shared" si="93"/>
        <v>#N/A</v>
      </c>
      <c r="W30" s="49" t="str">
        <f t="shared" si="93"/>
        <v>#N/A</v>
      </c>
      <c r="X30" s="49" t="str">
        <f t="shared" ref="X30:AC30" si="94">SUMIF(Tableau!$A:$A,$A30,Tableau!P:P)</f>
        <v>#N/A</v>
      </c>
      <c r="Y30" s="49" t="str">
        <f t="shared" si="94"/>
        <v>#N/A</v>
      </c>
      <c r="Z30" s="49" t="str">
        <f t="shared" si="94"/>
        <v>#N/A</v>
      </c>
      <c r="AA30" s="49" t="str">
        <f t="shared" si="94"/>
        <v>#N/A</v>
      </c>
      <c r="AB30" s="49" t="str">
        <f t="shared" si="94"/>
        <v>#N/A</v>
      </c>
      <c r="AC30" s="49" t="str">
        <f t="shared" si="94"/>
        <v>#N/A</v>
      </c>
      <c r="AE30" s="22" t="s">
        <v>69</v>
      </c>
      <c r="AF30" s="22">
        <f t="shared" ref="AF30:AL30" si="95">IFERROR(AF12/AF21,0)</f>
        <v>0</v>
      </c>
      <c r="AG30" s="22">
        <f t="shared" si="95"/>
        <v>0</v>
      </c>
      <c r="AH30" s="22">
        <f t="shared" si="95"/>
        <v>0</v>
      </c>
      <c r="AI30" s="22">
        <f t="shared" si="95"/>
        <v>0</v>
      </c>
      <c r="AJ30" s="22">
        <f t="shared" si="95"/>
        <v>0</v>
      </c>
      <c r="AK30" s="22">
        <f t="shared" si="95"/>
        <v>0</v>
      </c>
      <c r="AL30" s="22">
        <f t="shared" si="95"/>
        <v>0</v>
      </c>
      <c r="AN30" s="24"/>
      <c r="AV30" s="22">
        <f t="shared" si="44"/>
        <v>4250</v>
      </c>
      <c r="AX30" s="25"/>
      <c r="BF30" s="27" t="str">
        <f t="shared" si="51"/>
        <v>#N/A</v>
      </c>
      <c r="BH30" s="49" t="s">
        <v>110</v>
      </c>
      <c r="BI30" s="110">
        <v>0.0</v>
      </c>
      <c r="BJ30" s="110">
        <v>0.0</v>
      </c>
      <c r="BK30" s="110">
        <v>0.0</v>
      </c>
      <c r="BL30" s="110">
        <v>24.242424242424242</v>
      </c>
      <c r="BM30" s="110">
        <v>417.5084175084175</v>
      </c>
      <c r="BN30" s="110">
        <v>0.0</v>
      </c>
      <c r="BO30" s="110">
        <v>181.8181818181818</v>
      </c>
      <c r="BR30" s="25"/>
      <c r="CF30" s="27">
        <f t="shared" ref="CF30:CK30" si="96">IFERROR(BT30/BZ30,0)</f>
        <v>0</v>
      </c>
      <c r="CG30" s="27">
        <f t="shared" si="96"/>
        <v>0</v>
      </c>
      <c r="CH30" s="27">
        <f t="shared" si="96"/>
        <v>0</v>
      </c>
      <c r="CI30" s="27">
        <f t="shared" si="96"/>
        <v>0</v>
      </c>
      <c r="CJ30" s="27">
        <f t="shared" si="96"/>
        <v>0</v>
      </c>
      <c r="CK30" s="27">
        <f t="shared" si="96"/>
        <v>0</v>
      </c>
    </row>
    <row r="31" ht="18.0" customHeight="1">
      <c r="A31" s="30" t="str">
        <f>Data2026!A35</f>
        <v>seobroCA</v>
      </c>
      <c r="B31" s="9">
        <f>Data2026!B35</f>
        <v>46120</v>
      </c>
      <c r="C31" s="11" t="str">
        <f>Data2026!C35</f>
        <v>Fixed</v>
      </c>
      <c r="D31" s="12" t="str">
        <f>Data2026!D35</f>
        <v>seobroCA</v>
      </c>
      <c r="E31" s="12" t="str">
        <f>Data2026!E35</f>
        <v>Nini_B</v>
      </c>
      <c r="F31" s="9">
        <f>Data2026!F35</f>
        <v>46120</v>
      </c>
      <c r="G31" s="70">
        <f>Data2026!G35</f>
        <v>2000</v>
      </c>
      <c r="H31" s="30" t="str">
        <f>Data2026!H35</f>
        <v>Finished</v>
      </c>
      <c r="I31" s="30" t="str">
        <f>Data2026!I35</f>
        <v>SEO</v>
      </c>
      <c r="J31" s="9">
        <f>Data2026!J35</f>
        <v>46143</v>
      </c>
      <c r="K31" s="9">
        <f>Data2026!K35</f>
        <v>46173</v>
      </c>
      <c r="L31" s="43">
        <f t="shared" si="2"/>
        <v>0</v>
      </c>
      <c r="M31" s="43">
        <f t="shared" si="3"/>
        <v>0</v>
      </c>
      <c r="N31" s="43">
        <f t="shared" si="4"/>
        <v>0</v>
      </c>
      <c r="O31" s="43">
        <f t="shared" si="5"/>
        <v>0</v>
      </c>
      <c r="P31" s="43">
        <f t="shared" si="6"/>
        <v>2000</v>
      </c>
      <c r="Q31" s="43">
        <f t="shared" si="7"/>
        <v>0</v>
      </c>
      <c r="R31" s="49" t="str">
        <f t="shared" ref="R31:W31" si="97">SUMIF(Tableau!$A:$A,$A31,Tableau!E:E)</f>
        <v>#N/A</v>
      </c>
      <c r="S31" s="49" t="str">
        <f t="shared" si="97"/>
        <v>#N/A</v>
      </c>
      <c r="T31" s="49" t="str">
        <f t="shared" si="97"/>
        <v>#N/A</v>
      </c>
      <c r="U31" s="49" t="str">
        <f t="shared" si="97"/>
        <v>#N/A</v>
      </c>
      <c r="V31" s="49" t="str">
        <f t="shared" si="97"/>
        <v>#N/A</v>
      </c>
      <c r="W31" s="49" t="str">
        <f t="shared" si="97"/>
        <v>#N/A</v>
      </c>
      <c r="X31" s="49" t="str">
        <f t="shared" ref="X31:AC31" si="98">SUMIF(Tableau!$A:$A,$A31,Tableau!P:P)</f>
        <v>#N/A</v>
      </c>
      <c r="Y31" s="49" t="str">
        <f t="shared" si="98"/>
        <v>#N/A</v>
      </c>
      <c r="Z31" s="49" t="str">
        <f t="shared" si="98"/>
        <v>#N/A</v>
      </c>
      <c r="AA31" s="49" t="str">
        <f t="shared" si="98"/>
        <v>#N/A</v>
      </c>
      <c r="AB31" s="49" t="str">
        <f t="shared" si="98"/>
        <v>#N/A</v>
      </c>
      <c r="AC31" s="49" t="str">
        <f t="shared" si="98"/>
        <v>#N/A</v>
      </c>
      <c r="AE31" s="22" t="s">
        <v>65</v>
      </c>
      <c r="AF31" s="22">
        <f t="shared" ref="AF31:AL31" si="99">IFERROR(AF13/AF22,0)</f>
        <v>0</v>
      </c>
      <c r="AG31" s="22">
        <f t="shared" si="99"/>
        <v>0</v>
      </c>
      <c r="AH31" s="22">
        <f t="shared" si="99"/>
        <v>0</v>
      </c>
      <c r="AI31" s="22">
        <f t="shared" si="99"/>
        <v>0</v>
      </c>
      <c r="AJ31" s="22">
        <f t="shared" si="99"/>
        <v>0</v>
      </c>
      <c r="AK31" s="22">
        <f t="shared" si="99"/>
        <v>0</v>
      </c>
      <c r="AL31" s="22">
        <f t="shared" si="99"/>
        <v>0</v>
      </c>
      <c r="AN31" s="24"/>
      <c r="AV31" s="22">
        <f t="shared" si="44"/>
        <v>302.95</v>
      </c>
      <c r="AX31" s="25"/>
      <c r="BF31" s="27" t="str">
        <f t="shared" si="51"/>
        <v>#N/A</v>
      </c>
      <c r="BH31" s="49" t="s">
        <v>112</v>
      </c>
      <c r="BI31" s="110">
        <v>0.0</v>
      </c>
      <c r="BJ31" s="110">
        <v>0.0</v>
      </c>
      <c r="BK31" s="110">
        <v>0.0</v>
      </c>
      <c r="BL31" s="110">
        <v>0.0</v>
      </c>
      <c r="BM31" s="110">
        <v>416.7383333333333</v>
      </c>
      <c r="BN31" s="110">
        <v>0.0</v>
      </c>
      <c r="BO31" s="110">
        <v>357.2042857142857</v>
      </c>
      <c r="BR31" s="25"/>
      <c r="CF31" s="27">
        <f t="shared" ref="CF31:CK31" si="100">IFERROR(BT31/BZ31,0)</f>
        <v>0</v>
      </c>
      <c r="CG31" s="27">
        <f t="shared" si="100"/>
        <v>0</v>
      </c>
      <c r="CH31" s="27">
        <f t="shared" si="100"/>
        <v>0</v>
      </c>
      <c r="CI31" s="27">
        <f t="shared" si="100"/>
        <v>0</v>
      </c>
      <c r="CJ31" s="27">
        <f t="shared" si="100"/>
        <v>0</v>
      </c>
      <c r="CK31" s="27">
        <f t="shared" si="100"/>
        <v>0</v>
      </c>
    </row>
    <row r="32" ht="18.0" customHeight="1">
      <c r="A32" s="30" t="str">
        <f>Data2026!A36</f>
        <v>ZnakiNL</v>
      </c>
      <c r="B32" s="9">
        <f>Data2026!B36</f>
        <v>46122</v>
      </c>
      <c r="C32" s="11" t="str">
        <f>Data2026!C36</f>
        <v>Fixed</v>
      </c>
      <c r="D32" s="12" t="str">
        <f>Data2026!D36</f>
        <v>ZnakiNL</v>
      </c>
      <c r="E32" s="12" t="str">
        <f>Data2026!E36</f>
        <v>Elene_Gh</v>
      </c>
      <c r="F32" s="9">
        <f>Data2026!F36</f>
        <v>46122</v>
      </c>
      <c r="G32" s="70">
        <f>Data2026!G36</f>
        <v>800</v>
      </c>
      <c r="H32" s="30" t="str">
        <f>Data2026!H36</f>
        <v>Finished</v>
      </c>
      <c r="I32" s="30" t="str">
        <f>Data2026!I36</f>
        <v>SEO</v>
      </c>
      <c r="J32" s="9">
        <f>Data2026!J36</f>
        <v>46128</v>
      </c>
      <c r="K32" s="9">
        <f>Data2026!K36</f>
        <v>46142</v>
      </c>
      <c r="L32" s="43">
        <f t="shared" si="2"/>
        <v>0</v>
      </c>
      <c r="M32" s="43">
        <f t="shared" si="3"/>
        <v>0</v>
      </c>
      <c r="N32" s="43">
        <f t="shared" si="4"/>
        <v>0</v>
      </c>
      <c r="O32" s="43">
        <f t="shared" si="5"/>
        <v>800</v>
      </c>
      <c r="P32" s="43">
        <f t="shared" si="6"/>
        <v>0</v>
      </c>
      <c r="Q32" s="43">
        <f t="shared" si="7"/>
        <v>0</v>
      </c>
      <c r="R32" s="49" t="str">
        <f t="shared" ref="R32:W32" si="101">SUMIF(Tableau!$A:$A,$A32,Tableau!E:E)</f>
        <v>#N/A</v>
      </c>
      <c r="S32" s="49" t="str">
        <f t="shared" si="101"/>
        <v>#N/A</v>
      </c>
      <c r="T32" s="49" t="str">
        <f t="shared" si="101"/>
        <v>#N/A</v>
      </c>
      <c r="U32" s="49" t="str">
        <f t="shared" si="101"/>
        <v>#N/A</v>
      </c>
      <c r="V32" s="49" t="str">
        <f t="shared" si="101"/>
        <v>#N/A</v>
      </c>
      <c r="W32" s="49" t="str">
        <f t="shared" si="101"/>
        <v>#N/A</v>
      </c>
      <c r="X32" s="49" t="str">
        <f t="shared" ref="X32:AC32" si="102">SUMIF(Tableau!$A:$A,$A32,Tableau!P:P)</f>
        <v>#N/A</v>
      </c>
      <c r="Y32" s="49" t="str">
        <f t="shared" si="102"/>
        <v>#N/A</v>
      </c>
      <c r="Z32" s="49" t="str">
        <f t="shared" si="102"/>
        <v>#N/A</v>
      </c>
      <c r="AA32" s="49" t="str">
        <f t="shared" si="102"/>
        <v>#N/A</v>
      </c>
      <c r="AB32" s="49" t="str">
        <f t="shared" si="102"/>
        <v>#N/A</v>
      </c>
      <c r="AC32" s="49" t="str">
        <f t="shared" si="102"/>
        <v>#N/A</v>
      </c>
      <c r="AE32" s="22" t="s">
        <v>92</v>
      </c>
      <c r="AF32" s="22">
        <f t="shared" ref="AF32:AL32" si="103">IFERROR(AF14/AF23,0)</f>
        <v>0</v>
      </c>
      <c r="AG32" s="22">
        <f t="shared" si="103"/>
        <v>0</v>
      </c>
      <c r="AH32" s="22">
        <f t="shared" si="103"/>
        <v>0</v>
      </c>
      <c r="AI32" s="22">
        <f t="shared" si="103"/>
        <v>0</v>
      </c>
      <c r="AJ32" s="22">
        <f t="shared" si="103"/>
        <v>0</v>
      </c>
      <c r="AK32" s="22">
        <f t="shared" si="103"/>
        <v>0</v>
      </c>
      <c r="AL32" s="22">
        <f t="shared" si="103"/>
        <v>0</v>
      </c>
      <c r="AN32" s="24"/>
      <c r="AV32" s="22">
        <f t="shared" si="44"/>
        <v>103.458</v>
      </c>
      <c r="AX32" s="25"/>
      <c r="BF32" s="27" t="str">
        <f t="shared" si="51"/>
        <v>#N/A</v>
      </c>
      <c r="BH32" s="49" t="s">
        <v>106</v>
      </c>
      <c r="BI32" s="110">
        <v>0.0</v>
      </c>
      <c r="BJ32" s="110">
        <v>0.0</v>
      </c>
      <c r="BK32" s="110">
        <v>0.0</v>
      </c>
      <c r="BL32" s="110">
        <v>22.566060606060606</v>
      </c>
      <c r="BM32" s="110">
        <v>1.8805050505050505</v>
      </c>
      <c r="BN32" s="110">
        <v>0.0</v>
      </c>
      <c r="BO32" s="110">
        <v>4.773589743589743</v>
      </c>
      <c r="BR32" s="25"/>
      <c r="CF32" s="27">
        <f t="shared" ref="CF32:CK32" si="104">IFERROR(BT32/BZ32,0)</f>
        <v>0</v>
      </c>
      <c r="CG32" s="27">
        <f t="shared" si="104"/>
        <v>0</v>
      </c>
      <c r="CH32" s="27">
        <f t="shared" si="104"/>
        <v>0</v>
      </c>
      <c r="CI32" s="27">
        <f t="shared" si="104"/>
        <v>0</v>
      </c>
      <c r="CJ32" s="27">
        <f t="shared" si="104"/>
        <v>0</v>
      </c>
      <c r="CK32" s="27">
        <f t="shared" si="104"/>
        <v>0</v>
      </c>
    </row>
    <row r="33" ht="18.0" customHeight="1">
      <c r="A33" s="30" t="str">
        <f>Data2026!A37</f>
        <v>totisuedd</v>
      </c>
      <c r="B33" s="9">
        <f>Data2026!B37</f>
        <v>46128</v>
      </c>
      <c r="C33" s="11" t="str">
        <f>Data2026!C37</f>
        <v>Fixed</v>
      </c>
      <c r="D33" s="12" t="str">
        <f>Data2026!D37</f>
        <v>totisuedd</v>
      </c>
      <c r="E33" s="12" t="str">
        <f>Data2026!E37</f>
        <v>Elene_Gh</v>
      </c>
      <c r="F33" s="9">
        <f>Data2026!F37</f>
        <v>46128</v>
      </c>
      <c r="G33" s="70">
        <f>Data2026!G37</f>
        <v>679.93</v>
      </c>
      <c r="H33" s="30" t="str">
        <f>Data2026!H37</f>
        <v>Finished</v>
      </c>
      <c r="I33" s="30" t="str">
        <f>Data2026!I37</f>
        <v>Influence</v>
      </c>
      <c r="J33" s="9">
        <f>Data2026!J37</f>
        <v>46129</v>
      </c>
      <c r="K33" s="9">
        <f>Data2026!K37</f>
        <v>46140</v>
      </c>
      <c r="L33" s="43">
        <f t="shared" si="2"/>
        <v>0</v>
      </c>
      <c r="M33" s="43">
        <f t="shared" si="3"/>
        <v>0</v>
      </c>
      <c r="N33" s="43">
        <f t="shared" si="4"/>
        <v>0</v>
      </c>
      <c r="O33" s="43">
        <f t="shared" si="5"/>
        <v>679.93</v>
      </c>
      <c r="P33" s="43">
        <f t="shared" si="6"/>
        <v>0</v>
      </c>
      <c r="Q33" s="43">
        <f t="shared" si="7"/>
        <v>0</v>
      </c>
      <c r="R33" s="49" t="str">
        <f t="shared" ref="R33:W33" si="105">SUMIF(Tableau!$A:$A,$A33,Tableau!E:E)</f>
        <v>#N/A</v>
      </c>
      <c r="S33" s="49" t="str">
        <f t="shared" si="105"/>
        <v>#N/A</v>
      </c>
      <c r="T33" s="49" t="str">
        <f t="shared" si="105"/>
        <v>#N/A</v>
      </c>
      <c r="U33" s="49" t="str">
        <f t="shared" si="105"/>
        <v>#N/A</v>
      </c>
      <c r="V33" s="49" t="str">
        <f t="shared" si="105"/>
        <v>#N/A</v>
      </c>
      <c r="W33" s="49" t="str">
        <f t="shared" si="105"/>
        <v>#N/A</v>
      </c>
      <c r="X33" s="49" t="str">
        <f t="shared" ref="X33:AC33" si="106">SUMIF(Tableau!$A:$A,$A33,Tableau!P:P)</f>
        <v>#N/A</v>
      </c>
      <c r="Y33" s="49" t="str">
        <f t="shared" si="106"/>
        <v>#N/A</v>
      </c>
      <c r="Z33" s="49" t="str">
        <f t="shared" si="106"/>
        <v>#N/A</v>
      </c>
      <c r="AA33" s="49" t="str">
        <f t="shared" si="106"/>
        <v>#N/A</v>
      </c>
      <c r="AB33" s="49" t="str">
        <f t="shared" si="106"/>
        <v>#N/A</v>
      </c>
      <c r="AC33" s="49" t="str">
        <f t="shared" si="106"/>
        <v>#N/A</v>
      </c>
      <c r="AE33" s="22" t="s">
        <v>28</v>
      </c>
      <c r="AF33" s="22">
        <f t="shared" ref="AF33:AL33" si="107">IFERROR(AF15/AF24,0)</f>
        <v>0</v>
      </c>
      <c r="AG33" s="22">
        <f t="shared" si="107"/>
        <v>0</v>
      </c>
      <c r="AH33" s="22">
        <f t="shared" si="107"/>
        <v>0</v>
      </c>
      <c r="AI33" s="22">
        <f t="shared" si="107"/>
        <v>0</v>
      </c>
      <c r="AJ33" s="22">
        <f t="shared" si="107"/>
        <v>0</v>
      </c>
      <c r="AK33" s="22">
        <f t="shared" si="107"/>
        <v>0</v>
      </c>
      <c r="AL33" s="22">
        <f t="shared" si="107"/>
        <v>0</v>
      </c>
      <c r="AN33" s="24"/>
      <c r="AV33" s="22">
        <f t="shared" si="44"/>
        <v>-1.15</v>
      </c>
      <c r="AX33" s="25"/>
      <c r="BF33" s="27" t="str">
        <f t="shared" si="51"/>
        <v>#N/A</v>
      </c>
      <c r="BH33" s="49" t="s">
        <v>173</v>
      </c>
      <c r="BI33" s="110">
        <v>0.0</v>
      </c>
      <c r="BJ33" s="110">
        <v>0.0</v>
      </c>
      <c r="BK33" s="110">
        <v>0.0</v>
      </c>
      <c r="BL33" s="110">
        <v>0.0</v>
      </c>
      <c r="BM33" s="110">
        <v>0.0</v>
      </c>
      <c r="BN33" s="110">
        <v>125.587</v>
      </c>
      <c r="BO33" s="110">
        <v>125.587</v>
      </c>
      <c r="BR33" s="25"/>
      <c r="CF33" s="27">
        <f t="shared" ref="CF33:CK33" si="108">IFERROR(BT33/BZ33,0)</f>
        <v>0</v>
      </c>
      <c r="CG33" s="27">
        <f t="shared" si="108"/>
        <v>0</v>
      </c>
      <c r="CH33" s="27">
        <f t="shared" si="108"/>
        <v>0</v>
      </c>
      <c r="CI33" s="27">
        <f t="shared" si="108"/>
        <v>0</v>
      </c>
      <c r="CJ33" s="27">
        <f t="shared" si="108"/>
        <v>0</v>
      </c>
      <c r="CK33" s="27">
        <f t="shared" si="108"/>
        <v>0</v>
      </c>
    </row>
    <row r="34" ht="18.0" customHeight="1">
      <c r="A34" s="30" t="str">
        <f>Data2026!A38</f>
        <v>Zukwaan</v>
      </c>
      <c r="B34" s="9">
        <f>Data2026!B38</f>
        <v>46129</v>
      </c>
      <c r="C34" s="11" t="str">
        <f>Data2026!C38</f>
        <v>Fixed</v>
      </c>
      <c r="D34" s="12" t="str">
        <f>Data2026!D38</f>
        <v>Zukwaan</v>
      </c>
      <c r="E34" s="12" t="str">
        <f>Data2026!E38</f>
        <v>Elene_Gh</v>
      </c>
      <c r="F34" s="9">
        <f>Data2026!F38</f>
        <v>46129</v>
      </c>
      <c r="G34" s="70">
        <f>Data2026!G38</f>
        <v>382.1</v>
      </c>
      <c r="H34" s="30" t="str">
        <f>Data2026!H38</f>
        <v>Finished</v>
      </c>
      <c r="I34" s="30" t="str">
        <f>Data2026!I38</f>
        <v>Influence</v>
      </c>
      <c r="J34" s="9">
        <f>Data2026!J38</f>
        <v>46131</v>
      </c>
      <c r="K34" s="9">
        <f>Data2026!K38</f>
        <v>46131</v>
      </c>
      <c r="L34" s="43">
        <f t="shared" si="2"/>
        <v>0</v>
      </c>
      <c r="M34" s="43">
        <f t="shared" si="3"/>
        <v>0</v>
      </c>
      <c r="N34" s="43">
        <f t="shared" si="4"/>
        <v>0</v>
      </c>
      <c r="O34" s="43">
        <f t="shared" si="5"/>
        <v>382.1</v>
      </c>
      <c r="P34" s="43">
        <f t="shared" si="6"/>
        <v>0</v>
      </c>
      <c r="Q34" s="43">
        <f t="shared" si="7"/>
        <v>0</v>
      </c>
      <c r="R34" s="49" t="str">
        <f t="shared" ref="R34:W34" si="109">SUMIF(Tableau!$A:$A,$A34,Tableau!E:E)</f>
        <v>#N/A</v>
      </c>
      <c r="S34" s="49" t="str">
        <f t="shared" si="109"/>
        <v>#N/A</v>
      </c>
      <c r="T34" s="49" t="str">
        <f t="shared" si="109"/>
        <v>#N/A</v>
      </c>
      <c r="U34" s="49" t="str">
        <f t="shared" si="109"/>
        <v>#N/A</v>
      </c>
      <c r="V34" s="49" t="str">
        <f t="shared" si="109"/>
        <v>#N/A</v>
      </c>
      <c r="W34" s="49" t="str">
        <f t="shared" si="109"/>
        <v>#N/A</v>
      </c>
      <c r="X34" s="49" t="str">
        <f t="shared" ref="X34:AC34" si="110">SUMIF(Tableau!$A:$A,$A34,Tableau!P:P)</f>
        <v>#N/A</v>
      </c>
      <c r="Y34" s="49" t="str">
        <f t="shared" si="110"/>
        <v>#N/A</v>
      </c>
      <c r="Z34" s="49" t="str">
        <f t="shared" si="110"/>
        <v>#N/A</v>
      </c>
      <c r="AA34" s="49" t="str">
        <f t="shared" si="110"/>
        <v>#N/A</v>
      </c>
      <c r="AB34" s="49" t="str">
        <f t="shared" si="110"/>
        <v>#N/A</v>
      </c>
      <c r="AC34" s="49" t="str">
        <f t="shared" si="110"/>
        <v>#N/A</v>
      </c>
      <c r="AE34" s="22" t="s">
        <v>145</v>
      </c>
      <c r="AF34" s="22">
        <f t="shared" ref="AF34:AL34" si="111">IFERROR(AF16/AF25,0)</f>
        <v>0</v>
      </c>
      <c r="AG34" s="22">
        <f t="shared" si="111"/>
        <v>0</v>
      </c>
      <c r="AH34" s="22">
        <f t="shared" si="111"/>
        <v>0</v>
      </c>
      <c r="AI34" s="22">
        <f t="shared" si="111"/>
        <v>0</v>
      </c>
      <c r="AJ34" s="22">
        <f t="shared" si="111"/>
        <v>0</v>
      </c>
      <c r="AK34" s="22">
        <f t="shared" si="111"/>
        <v>0</v>
      </c>
      <c r="AL34" s="22">
        <f t="shared" si="111"/>
        <v>0</v>
      </c>
      <c r="AN34" s="24"/>
      <c r="AV34" s="22">
        <f t="shared" si="44"/>
        <v>334.082</v>
      </c>
      <c r="AX34" s="25"/>
      <c r="BF34" s="27" t="str">
        <f t="shared" si="51"/>
        <v>#N/A</v>
      </c>
      <c r="BH34" s="49" t="s">
        <v>154</v>
      </c>
      <c r="BI34" s="110">
        <v>0.0</v>
      </c>
      <c r="BJ34" s="110">
        <v>0.0</v>
      </c>
      <c r="BK34" s="110">
        <v>0.0</v>
      </c>
      <c r="BL34" s="110">
        <v>0.0</v>
      </c>
      <c r="BM34" s="110">
        <v>0.0</v>
      </c>
      <c r="BN34" s="110">
        <v>0.0</v>
      </c>
      <c r="BO34" s="110">
        <v>0.0</v>
      </c>
      <c r="BR34" s="25"/>
      <c r="CF34" s="27">
        <f t="shared" ref="CF34:CK34" si="112">IFERROR(BT34/BZ34,0)</f>
        <v>0</v>
      </c>
      <c r="CG34" s="27">
        <f t="shared" si="112"/>
        <v>0</v>
      </c>
      <c r="CH34" s="27">
        <f t="shared" si="112"/>
        <v>0</v>
      </c>
      <c r="CI34" s="27">
        <f t="shared" si="112"/>
        <v>0</v>
      </c>
      <c r="CJ34" s="27">
        <f t="shared" si="112"/>
        <v>0</v>
      </c>
      <c r="CK34" s="27">
        <f t="shared" si="112"/>
        <v>0</v>
      </c>
    </row>
    <row r="35" ht="18.0" customHeight="1">
      <c r="A35" s="30" t="str">
        <f>Data2026!A39</f>
        <v>vkngaffiliates</v>
      </c>
      <c r="B35" s="9">
        <f>Data2026!B39</f>
        <v>46135</v>
      </c>
      <c r="C35" s="11" t="str">
        <f>Data2026!C39</f>
        <v>Fixed</v>
      </c>
      <c r="D35" s="12" t="str">
        <f>Data2026!D39</f>
        <v>vkngaffiliates</v>
      </c>
      <c r="E35" s="12" t="str">
        <f>Data2026!E39</f>
        <v>Nini_B</v>
      </c>
      <c r="F35" s="9">
        <f>Data2026!F39</f>
        <v>46135</v>
      </c>
      <c r="G35" s="70">
        <f>Data2026!G39</f>
        <v>372.34</v>
      </c>
      <c r="H35" s="30" t="str">
        <f>Data2026!H39</f>
        <v>Finished</v>
      </c>
      <c r="I35" s="30" t="str">
        <f>Data2026!I39</f>
        <v>Influence</v>
      </c>
      <c r="J35" s="9">
        <f>Data2026!J39</f>
        <v>46139</v>
      </c>
      <c r="K35" s="9">
        <f>Data2026!K39</f>
        <v>46145</v>
      </c>
      <c r="L35" s="43">
        <f t="shared" si="2"/>
        <v>0</v>
      </c>
      <c r="M35" s="43">
        <f t="shared" si="3"/>
        <v>0</v>
      </c>
      <c r="N35" s="43">
        <f t="shared" si="4"/>
        <v>0</v>
      </c>
      <c r="O35" s="43">
        <f t="shared" si="5"/>
        <v>248.2266667</v>
      </c>
      <c r="P35" s="43">
        <f t="shared" si="6"/>
        <v>124.1133333</v>
      </c>
      <c r="Q35" s="43">
        <f t="shared" si="7"/>
        <v>0</v>
      </c>
      <c r="R35" s="49" t="str">
        <f t="shared" ref="R35:W35" si="113">SUMIF(Tableau!$A:$A,$A35,Tableau!E:E)</f>
        <v>#N/A</v>
      </c>
      <c r="S35" s="49" t="str">
        <f t="shared" si="113"/>
        <v>#N/A</v>
      </c>
      <c r="T35" s="49" t="str">
        <f t="shared" si="113"/>
        <v>#N/A</v>
      </c>
      <c r="U35" s="49" t="str">
        <f t="shared" si="113"/>
        <v>#N/A</v>
      </c>
      <c r="V35" s="49" t="str">
        <f t="shared" si="113"/>
        <v>#N/A</v>
      </c>
      <c r="W35" s="49" t="str">
        <f t="shared" si="113"/>
        <v>#N/A</v>
      </c>
      <c r="X35" s="49" t="str">
        <f t="shared" ref="X35:AC35" si="114">SUMIF(Tableau!$A:$A,$A35,Tableau!P:P)</f>
        <v>#N/A</v>
      </c>
      <c r="Y35" s="49" t="str">
        <f t="shared" si="114"/>
        <v>#N/A</v>
      </c>
      <c r="Z35" s="49" t="str">
        <f t="shared" si="114"/>
        <v>#N/A</v>
      </c>
      <c r="AA35" s="49" t="str">
        <f t="shared" si="114"/>
        <v>#N/A</v>
      </c>
      <c r="AB35" s="49" t="str">
        <f t="shared" si="114"/>
        <v>#N/A</v>
      </c>
      <c r="AC35" s="49" t="str">
        <f t="shared" si="114"/>
        <v>#N/A</v>
      </c>
      <c r="AE35" s="49" t="s">
        <v>214</v>
      </c>
      <c r="AF35" s="22">
        <f t="shared" ref="AF35:AL35" si="115">IFERROR(AF17/AF26,0)</f>
        <v>0</v>
      </c>
      <c r="AG35" s="22">
        <f t="shared" si="115"/>
        <v>0</v>
      </c>
      <c r="AH35" s="22">
        <f t="shared" si="115"/>
        <v>0</v>
      </c>
      <c r="AI35" s="22">
        <f t="shared" si="115"/>
        <v>0</v>
      </c>
      <c r="AJ35" s="22">
        <f t="shared" si="115"/>
        <v>0</v>
      </c>
      <c r="AK35" s="22">
        <f t="shared" si="115"/>
        <v>0</v>
      </c>
      <c r="AL35" s="22">
        <f t="shared" si="115"/>
        <v>0</v>
      </c>
      <c r="AN35" s="24"/>
      <c r="AV35" s="22">
        <f t="shared" si="44"/>
        <v>29447.72727</v>
      </c>
      <c r="AX35" s="25"/>
      <c r="BF35" s="27" t="str">
        <f t="shared" si="51"/>
        <v>#N/A</v>
      </c>
      <c r="BH35" s="49" t="s">
        <v>151</v>
      </c>
      <c r="BI35" s="110">
        <v>0.0</v>
      </c>
      <c r="BJ35" s="110">
        <v>0.0</v>
      </c>
      <c r="BK35" s="110">
        <v>0.0</v>
      </c>
      <c r="BL35" s="110">
        <v>0.0</v>
      </c>
      <c r="BM35" s="110">
        <v>0.0</v>
      </c>
      <c r="BN35" s="110">
        <v>0.0</v>
      </c>
      <c r="BO35" s="110">
        <v>0.0</v>
      </c>
      <c r="BR35" s="25"/>
      <c r="CF35" s="27">
        <f t="shared" ref="CF35:CK35" si="116">IFERROR(BT35/BZ35,0)</f>
        <v>0</v>
      </c>
      <c r="CG35" s="27">
        <f t="shared" si="116"/>
        <v>0</v>
      </c>
      <c r="CH35" s="27">
        <f t="shared" si="116"/>
        <v>0</v>
      </c>
      <c r="CI35" s="27">
        <f t="shared" si="116"/>
        <v>0</v>
      </c>
      <c r="CJ35" s="27">
        <f t="shared" si="116"/>
        <v>0</v>
      </c>
      <c r="CK35" s="27">
        <f t="shared" si="116"/>
        <v>0</v>
      </c>
    </row>
    <row r="36" ht="18.0" customHeight="1">
      <c r="A36" s="30" t="str">
        <f>Data2026!A40</f>
        <v>Tinchogramu</v>
      </c>
      <c r="B36" s="9">
        <f>Data2026!B40</f>
        <v>46135</v>
      </c>
      <c r="C36" s="11" t="str">
        <f>Data2026!C40</f>
        <v>Fixed</v>
      </c>
      <c r="D36" s="12" t="str">
        <f>Data2026!D40</f>
        <v>Tinchogramu</v>
      </c>
      <c r="E36" s="12" t="str">
        <f>Data2026!E40</f>
        <v>Elene_Gh</v>
      </c>
      <c r="F36" s="9">
        <f>Data2026!F40</f>
        <v>46135</v>
      </c>
      <c r="G36" s="70">
        <f>Data2026!G40</f>
        <v>361.7</v>
      </c>
      <c r="H36" s="30" t="str">
        <f>Data2026!H40</f>
        <v>Finished</v>
      </c>
      <c r="I36" s="30" t="str">
        <f>Data2026!I40</f>
        <v>Influence</v>
      </c>
      <c r="J36" s="9">
        <f>Data2026!J40</f>
        <v>46135</v>
      </c>
      <c r="K36" s="9">
        <f>Data2026!K40</f>
        <v>46141</v>
      </c>
      <c r="L36" s="43">
        <f t="shared" si="2"/>
        <v>0</v>
      </c>
      <c r="M36" s="43">
        <f t="shared" si="3"/>
        <v>0</v>
      </c>
      <c r="N36" s="43">
        <f t="shared" si="4"/>
        <v>0</v>
      </c>
      <c r="O36" s="43">
        <f t="shared" si="5"/>
        <v>361.7</v>
      </c>
      <c r="P36" s="43">
        <f t="shared" si="6"/>
        <v>0</v>
      </c>
      <c r="Q36" s="43">
        <f t="shared" si="7"/>
        <v>0</v>
      </c>
      <c r="R36" s="49" t="str">
        <f t="shared" ref="R36:W36" si="117">SUMIF(Tableau!$A:$A,$A36,Tableau!E:E)</f>
        <v>#N/A</v>
      </c>
      <c r="S36" s="49" t="str">
        <f t="shared" si="117"/>
        <v>#N/A</v>
      </c>
      <c r="T36" s="49" t="str">
        <f t="shared" si="117"/>
        <v>#N/A</v>
      </c>
      <c r="U36" s="49" t="str">
        <f t="shared" si="117"/>
        <v>#N/A</v>
      </c>
      <c r="V36" s="49" t="str">
        <f t="shared" si="117"/>
        <v>#N/A</v>
      </c>
      <c r="W36" s="49" t="str">
        <f t="shared" si="117"/>
        <v>#N/A</v>
      </c>
      <c r="X36" s="49" t="str">
        <f t="shared" ref="X36:AC36" si="118">SUMIF(Tableau!$A:$A,$A36,Tableau!P:P)</f>
        <v>#N/A</v>
      </c>
      <c r="Y36" s="49" t="str">
        <f t="shared" si="118"/>
        <v>#N/A</v>
      </c>
      <c r="Z36" s="49" t="str">
        <f t="shared" si="118"/>
        <v>#N/A</v>
      </c>
      <c r="AA36" s="49" t="str">
        <f t="shared" si="118"/>
        <v>#N/A</v>
      </c>
      <c r="AB36" s="49" t="str">
        <f t="shared" si="118"/>
        <v>#N/A</v>
      </c>
      <c r="AC36" s="49" t="str">
        <f t="shared" si="118"/>
        <v>#N/A</v>
      </c>
      <c r="AE36" s="111" t="s">
        <v>335</v>
      </c>
      <c r="AF36" s="111">
        <f t="shared" ref="AF36:AL36" si="119">IFERROR(AF18/AF27,0)</f>
        <v>0</v>
      </c>
      <c r="AG36" s="111">
        <f t="shared" si="119"/>
        <v>0</v>
      </c>
      <c r="AH36" s="111">
        <f t="shared" si="119"/>
        <v>0</v>
      </c>
      <c r="AI36" s="111">
        <f t="shared" si="119"/>
        <v>0</v>
      </c>
      <c r="AJ36" s="111">
        <f t="shared" si="119"/>
        <v>0</v>
      </c>
      <c r="AK36" s="111">
        <f t="shared" si="119"/>
        <v>0</v>
      </c>
      <c r="AL36" s="111">
        <f t="shared" si="119"/>
        <v>0</v>
      </c>
      <c r="AN36" s="24"/>
      <c r="AV36" s="22">
        <f t="shared" si="44"/>
        <v>7500</v>
      </c>
      <c r="AX36" s="25"/>
      <c r="BF36" s="27" t="str">
        <f t="shared" si="51"/>
        <v>#N/A</v>
      </c>
      <c r="BH36" s="49" t="s">
        <v>167</v>
      </c>
      <c r="BI36" s="110">
        <v>0.0</v>
      </c>
      <c r="BJ36" s="110">
        <v>0.0</v>
      </c>
      <c r="BK36" s="110">
        <v>0.0</v>
      </c>
      <c r="BL36" s="110">
        <v>0.0</v>
      </c>
      <c r="BM36" s="110">
        <v>0.0</v>
      </c>
      <c r="BN36" s="110">
        <v>0.0</v>
      </c>
      <c r="BO36" s="110">
        <v>0.0</v>
      </c>
      <c r="BR36" s="25"/>
      <c r="CF36" s="27">
        <f t="shared" ref="CF36:CK36" si="120">IFERROR(BT36/BZ36,0)</f>
        <v>0</v>
      </c>
      <c r="CG36" s="27">
        <f t="shared" si="120"/>
        <v>0</v>
      </c>
      <c r="CH36" s="27">
        <f t="shared" si="120"/>
        <v>0</v>
      </c>
      <c r="CI36" s="27">
        <f t="shared" si="120"/>
        <v>0</v>
      </c>
      <c r="CJ36" s="27">
        <f t="shared" si="120"/>
        <v>0</v>
      </c>
      <c r="CK36" s="27">
        <f t="shared" si="120"/>
        <v>0</v>
      </c>
    </row>
    <row r="37" ht="18.0" customHeight="1">
      <c r="A37" s="30" t="str">
        <f>Data2026!A41</f>
        <v>soroleto</v>
      </c>
      <c r="B37" s="9">
        <f>Data2026!B41</f>
        <v>46136</v>
      </c>
      <c r="C37" s="11" t="str">
        <f>Data2026!C41</f>
        <v>Fixed</v>
      </c>
      <c r="D37" s="12" t="str">
        <f>Data2026!D41</f>
        <v>soroleto</v>
      </c>
      <c r="E37" s="12" t="str">
        <f>Data2026!E41</f>
        <v>Elene_Gh</v>
      </c>
      <c r="F37" s="9">
        <f>Data2026!F41</f>
        <v>46136</v>
      </c>
      <c r="G37" s="70">
        <f>Data2026!G41</f>
        <v>1361.18</v>
      </c>
      <c r="H37" s="30" t="str">
        <f>Data2026!H41</f>
        <v>Finished</v>
      </c>
      <c r="I37" s="30" t="str">
        <f>Data2026!I41</f>
        <v>Influence</v>
      </c>
      <c r="J37" s="9">
        <f>Data2026!J41</f>
        <v>46137</v>
      </c>
      <c r="K37" s="9">
        <f>Data2026!K41</f>
        <v>46143</v>
      </c>
      <c r="L37" s="43">
        <f t="shared" si="2"/>
        <v>0</v>
      </c>
      <c r="M37" s="43">
        <f t="shared" si="3"/>
        <v>0</v>
      </c>
      <c r="N37" s="43">
        <f t="shared" si="4"/>
        <v>0</v>
      </c>
      <c r="O37" s="43">
        <f t="shared" si="5"/>
        <v>1361.18</v>
      </c>
      <c r="P37" s="43">
        <f t="shared" si="6"/>
        <v>0</v>
      </c>
      <c r="Q37" s="43">
        <f t="shared" si="7"/>
        <v>0</v>
      </c>
      <c r="R37" s="49" t="str">
        <f t="shared" ref="R37:W37" si="121">SUMIF(Tableau!$A:$A,$A37,Tableau!E:E)</f>
        <v>#N/A</v>
      </c>
      <c r="S37" s="49" t="str">
        <f t="shared" si="121"/>
        <v>#N/A</v>
      </c>
      <c r="T37" s="49" t="str">
        <f t="shared" si="121"/>
        <v>#N/A</v>
      </c>
      <c r="U37" s="49" t="str">
        <f t="shared" si="121"/>
        <v>#N/A</v>
      </c>
      <c r="V37" s="49" t="str">
        <f t="shared" si="121"/>
        <v>#N/A</v>
      </c>
      <c r="W37" s="49" t="str">
        <f t="shared" si="121"/>
        <v>#N/A</v>
      </c>
      <c r="X37" s="49" t="str">
        <f t="shared" ref="X37:AC37" si="122">SUMIF(Tableau!$A:$A,$A37,Tableau!P:P)</f>
        <v>#N/A</v>
      </c>
      <c r="Y37" s="49" t="str">
        <f t="shared" si="122"/>
        <v>#N/A</v>
      </c>
      <c r="Z37" s="49" t="str">
        <f t="shared" si="122"/>
        <v>#N/A</v>
      </c>
      <c r="AA37" s="49" t="str">
        <f t="shared" si="122"/>
        <v>#N/A</v>
      </c>
      <c r="AB37" s="49" t="str">
        <f t="shared" si="122"/>
        <v>#N/A</v>
      </c>
      <c r="AC37" s="49" t="str">
        <f t="shared" si="122"/>
        <v>#N/A</v>
      </c>
      <c r="AF37" s="22"/>
      <c r="AG37" s="22"/>
      <c r="AH37" s="22"/>
      <c r="AI37" s="22"/>
      <c r="AJ37" s="22"/>
      <c r="AK37" s="23"/>
      <c r="AN37" s="24"/>
      <c r="AV37" s="22">
        <f t="shared" si="44"/>
        <v>1663.78</v>
      </c>
      <c r="AX37" s="25"/>
      <c r="BF37" s="27" t="str">
        <f t="shared" si="51"/>
        <v>#N/A</v>
      </c>
      <c r="BH37" s="49" t="s">
        <v>133</v>
      </c>
      <c r="BI37" s="110">
        <v>0.0</v>
      </c>
      <c r="BJ37" s="110">
        <v>0.0</v>
      </c>
      <c r="BK37" s="110">
        <v>0.0</v>
      </c>
      <c r="BL37" s="110">
        <v>0.0</v>
      </c>
      <c r="BM37" s="110">
        <v>42.47642857142858</v>
      </c>
      <c r="BN37" s="110">
        <v>0.0</v>
      </c>
      <c r="BO37" s="110">
        <v>42.47642857142858</v>
      </c>
      <c r="BR37" s="25"/>
      <c r="CF37" s="27">
        <f t="shared" ref="CF37:CK37" si="123">IFERROR(BT37/BZ37,0)</f>
        <v>0</v>
      </c>
      <c r="CG37" s="27">
        <f t="shared" si="123"/>
        <v>0</v>
      </c>
      <c r="CH37" s="27">
        <f t="shared" si="123"/>
        <v>0</v>
      </c>
      <c r="CI37" s="27">
        <f t="shared" si="123"/>
        <v>0</v>
      </c>
      <c r="CJ37" s="27">
        <f t="shared" si="123"/>
        <v>0</v>
      </c>
      <c r="CK37" s="27">
        <f t="shared" si="123"/>
        <v>0</v>
      </c>
    </row>
    <row r="38" ht="18.0" customHeight="1">
      <c r="A38" s="30" t="str">
        <f>Data2026!A42</f>
        <v>reborced</v>
      </c>
      <c r="B38" s="9">
        <f>Data2026!B42</f>
        <v>46136</v>
      </c>
      <c r="C38" s="11" t="str">
        <f>Data2026!C42</f>
        <v>Fixed</v>
      </c>
      <c r="D38" s="12" t="str">
        <f>Data2026!D42</f>
        <v>reborced</v>
      </c>
      <c r="E38" s="12" t="str">
        <f>Data2026!E42</f>
        <v>Elene_Gh</v>
      </c>
      <c r="F38" s="9">
        <f>Data2026!F42</f>
        <v>46136</v>
      </c>
      <c r="G38" s="70">
        <f>Data2026!G42</f>
        <v>1361.18</v>
      </c>
      <c r="H38" s="30" t="str">
        <f>Data2026!H42</f>
        <v>Finished</v>
      </c>
      <c r="I38" s="30" t="str">
        <f>Data2026!I42</f>
        <v>Influence</v>
      </c>
      <c r="J38" s="9">
        <f>Data2026!J42</f>
        <v>46137</v>
      </c>
      <c r="K38" s="9">
        <f>Data2026!K42</f>
        <v>46143</v>
      </c>
      <c r="L38" s="43">
        <f t="shared" si="2"/>
        <v>0</v>
      </c>
      <c r="M38" s="43">
        <f t="shared" si="3"/>
        <v>0</v>
      </c>
      <c r="N38" s="43">
        <f t="shared" si="4"/>
        <v>0</v>
      </c>
      <c r="O38" s="43">
        <f t="shared" si="5"/>
        <v>1361.18</v>
      </c>
      <c r="P38" s="43">
        <f t="shared" si="6"/>
        <v>0</v>
      </c>
      <c r="Q38" s="43">
        <f t="shared" si="7"/>
        <v>0</v>
      </c>
      <c r="R38" s="49" t="str">
        <f t="shared" ref="R38:W38" si="124">SUMIF(Tableau!$A:$A,$A38,Tableau!E:E)</f>
        <v>#N/A</v>
      </c>
      <c r="S38" s="49" t="str">
        <f t="shared" si="124"/>
        <v>#N/A</v>
      </c>
      <c r="T38" s="49" t="str">
        <f t="shared" si="124"/>
        <v>#N/A</v>
      </c>
      <c r="U38" s="49" t="str">
        <f t="shared" si="124"/>
        <v>#N/A</v>
      </c>
      <c r="V38" s="49" t="str">
        <f t="shared" si="124"/>
        <v>#N/A</v>
      </c>
      <c r="W38" s="49" t="str">
        <f t="shared" si="124"/>
        <v>#N/A</v>
      </c>
      <c r="X38" s="49" t="str">
        <f t="shared" ref="X38:AC38" si="125">SUMIF(Tableau!$A:$A,$A38,Tableau!P:P)</f>
        <v>#N/A</v>
      </c>
      <c r="Y38" s="49" t="str">
        <f t="shared" si="125"/>
        <v>#N/A</v>
      </c>
      <c r="Z38" s="49" t="str">
        <f t="shared" si="125"/>
        <v>#N/A</v>
      </c>
      <c r="AA38" s="49" t="str">
        <f t="shared" si="125"/>
        <v>#N/A</v>
      </c>
      <c r="AB38" s="49" t="str">
        <f t="shared" si="125"/>
        <v>#N/A</v>
      </c>
      <c r="AC38" s="49" t="str">
        <f t="shared" si="125"/>
        <v>#N/A</v>
      </c>
      <c r="AF38" s="22"/>
      <c r="AG38" s="22"/>
      <c r="AH38" s="22"/>
      <c r="AI38" s="22"/>
      <c r="AJ38" s="22"/>
      <c r="AK38" s="23"/>
      <c r="AN38" s="24"/>
      <c r="AV38" s="22">
        <f t="shared" si="44"/>
        <v>2429.62</v>
      </c>
      <c r="AX38" s="25"/>
      <c r="BF38" s="27" t="str">
        <f t="shared" si="51"/>
        <v>#N/A</v>
      </c>
      <c r="BH38" s="49" t="s">
        <v>128</v>
      </c>
      <c r="BI38" s="110">
        <v>0.0</v>
      </c>
      <c r="BJ38" s="110">
        <v>0.0</v>
      </c>
      <c r="BK38" s="110">
        <v>0.0</v>
      </c>
      <c r="BL38" s="110">
        <v>0.0</v>
      </c>
      <c r="BM38" s="110">
        <v>0.0</v>
      </c>
      <c r="BN38" s="110">
        <v>0.0</v>
      </c>
      <c r="BO38" s="110">
        <v>0.0</v>
      </c>
      <c r="BR38" s="25"/>
      <c r="CF38" s="27">
        <f t="shared" ref="CF38:CK38" si="126">IFERROR(BT38/BZ38,0)</f>
        <v>0</v>
      </c>
      <c r="CG38" s="27">
        <f t="shared" si="126"/>
        <v>0</v>
      </c>
      <c r="CH38" s="27">
        <f t="shared" si="126"/>
        <v>0</v>
      </c>
      <c r="CI38" s="27">
        <f t="shared" si="126"/>
        <v>0</v>
      </c>
      <c r="CJ38" s="27">
        <f t="shared" si="126"/>
        <v>0</v>
      </c>
      <c r="CK38" s="27">
        <f t="shared" si="126"/>
        <v>0</v>
      </c>
    </row>
    <row r="39" ht="18.0" customHeight="1">
      <c r="A39" s="30" t="str">
        <f>Data2026!A43</f>
        <v>octomediagroup</v>
      </c>
      <c r="B39" s="9">
        <f>Data2026!B43</f>
        <v>46136</v>
      </c>
      <c r="C39" s="11" t="str">
        <f>Data2026!C43</f>
        <v>Fixed</v>
      </c>
      <c r="D39" s="12" t="str">
        <f>Data2026!D43</f>
        <v>octomediagroup</v>
      </c>
      <c r="E39" s="12" t="str">
        <f>Data2026!E43</f>
        <v>Nini_B</v>
      </c>
      <c r="F39" s="9">
        <f>Data2026!F43</f>
        <v>46029</v>
      </c>
      <c r="G39" s="70">
        <f>Data2026!G43</f>
        <v>4000</v>
      </c>
      <c r="H39" s="30" t="str">
        <f>Data2026!H43</f>
        <v>Finished</v>
      </c>
      <c r="I39" s="30" t="str">
        <f>Data2026!I43</f>
        <v>Influence</v>
      </c>
      <c r="J39" s="9">
        <f>Data2026!J43</f>
        <v>46141</v>
      </c>
      <c r="K39" s="9">
        <f>Data2026!K43</f>
        <v>46174</v>
      </c>
      <c r="L39" s="43">
        <f t="shared" si="2"/>
        <v>0</v>
      </c>
      <c r="M39" s="43">
        <f t="shared" si="3"/>
        <v>0</v>
      </c>
      <c r="N39" s="43">
        <f t="shared" si="4"/>
        <v>0</v>
      </c>
      <c r="O39" s="43">
        <f t="shared" si="5"/>
        <v>242.4242424</v>
      </c>
      <c r="P39" s="43">
        <f t="shared" si="6"/>
        <v>3757.575758</v>
      </c>
      <c r="Q39" s="43">
        <f t="shared" si="7"/>
        <v>0</v>
      </c>
      <c r="R39" s="49" t="str">
        <f t="shared" ref="R39:W39" si="127">SUMIF(Tableau!$A:$A,$A39,Tableau!E:E)</f>
        <v>#N/A</v>
      </c>
      <c r="S39" s="49" t="str">
        <f t="shared" si="127"/>
        <v>#N/A</v>
      </c>
      <c r="T39" s="49" t="str">
        <f t="shared" si="127"/>
        <v>#N/A</v>
      </c>
      <c r="U39" s="49" t="str">
        <f t="shared" si="127"/>
        <v>#N/A</v>
      </c>
      <c r="V39" s="49" t="str">
        <f t="shared" si="127"/>
        <v>#N/A</v>
      </c>
      <c r="W39" s="49" t="str">
        <f t="shared" si="127"/>
        <v>#N/A</v>
      </c>
      <c r="X39" s="49" t="str">
        <f t="shared" ref="X39:AC39" si="128">SUMIF(Tableau!$A:$A,$A39,Tableau!P:P)</f>
        <v>#N/A</v>
      </c>
      <c r="Y39" s="49" t="str">
        <f t="shared" si="128"/>
        <v>#N/A</v>
      </c>
      <c r="Z39" s="49" t="str">
        <f t="shared" si="128"/>
        <v>#N/A</v>
      </c>
      <c r="AA39" s="49" t="str">
        <f t="shared" si="128"/>
        <v>#N/A</v>
      </c>
      <c r="AB39" s="49" t="str">
        <f t="shared" si="128"/>
        <v>#N/A</v>
      </c>
      <c r="AC39" s="49" t="str">
        <f t="shared" si="128"/>
        <v>#N/A</v>
      </c>
      <c r="AL39" s="56" t="s">
        <v>27</v>
      </c>
      <c r="AN39" s="24"/>
      <c r="AV39" s="22">
        <f t="shared" si="44"/>
        <v>1759.75</v>
      </c>
      <c r="AX39" s="25"/>
      <c r="BF39" s="27" t="str">
        <f t="shared" si="51"/>
        <v>#N/A</v>
      </c>
      <c r="BH39" s="49" t="s">
        <v>130</v>
      </c>
      <c r="BI39" s="110">
        <v>0.0</v>
      </c>
      <c r="BJ39" s="110">
        <v>0.0</v>
      </c>
      <c r="BK39" s="110">
        <v>0.0</v>
      </c>
      <c r="BL39" s="110">
        <v>0.0</v>
      </c>
      <c r="BM39" s="110">
        <v>117.6470588235294</v>
      </c>
      <c r="BN39" s="110">
        <v>0.0</v>
      </c>
      <c r="BO39" s="110">
        <v>117.6470588235294</v>
      </c>
      <c r="BR39" s="25"/>
      <c r="CF39" s="27">
        <f t="shared" ref="CF39:CK39" si="129">IFERROR(BT39/BZ39,0)</f>
        <v>0</v>
      </c>
      <c r="CG39" s="27">
        <f t="shared" si="129"/>
        <v>0</v>
      </c>
      <c r="CH39" s="27">
        <f t="shared" si="129"/>
        <v>0</v>
      </c>
      <c r="CI39" s="27">
        <f t="shared" si="129"/>
        <v>0</v>
      </c>
      <c r="CJ39" s="27">
        <f t="shared" si="129"/>
        <v>0</v>
      </c>
      <c r="CK39" s="27">
        <f t="shared" si="129"/>
        <v>0</v>
      </c>
    </row>
    <row r="40" ht="18.0" customHeight="1">
      <c r="A40" s="30" t="str">
        <f>Data2026!A44</f>
        <v>OnePartners</v>
      </c>
      <c r="B40" s="9">
        <f>Data2026!B44</f>
        <v>46136</v>
      </c>
      <c r="C40" s="11" t="str">
        <f>Data2026!C44</f>
        <v>Fixed</v>
      </c>
      <c r="D40" s="12" t="str">
        <f>Data2026!D44</f>
        <v>OnePartners</v>
      </c>
      <c r="E40" s="12" t="str">
        <f>Data2026!E44</f>
        <v>Elene_Gh</v>
      </c>
      <c r="F40" s="9">
        <f>Data2026!F44</f>
        <v>46136</v>
      </c>
      <c r="G40" s="70">
        <f>Data2026!G44</f>
        <v>200</v>
      </c>
      <c r="H40" s="30" t="str">
        <f>Data2026!H44</f>
        <v>Finished</v>
      </c>
      <c r="I40" s="30" t="str">
        <f>Data2026!I44</f>
        <v>Influence</v>
      </c>
      <c r="J40" s="9">
        <f>Data2026!J44</f>
        <v>46111</v>
      </c>
      <c r="K40" s="9">
        <f>Data2026!K44</f>
        <v>46127</v>
      </c>
      <c r="L40" s="43">
        <f t="shared" si="2"/>
        <v>0</v>
      </c>
      <c r="M40" s="43">
        <f t="shared" si="3"/>
        <v>0</v>
      </c>
      <c r="N40" s="43">
        <f t="shared" si="4"/>
        <v>25</v>
      </c>
      <c r="O40" s="43">
        <f t="shared" si="5"/>
        <v>175</v>
      </c>
      <c r="P40" s="43">
        <f t="shared" si="6"/>
        <v>0</v>
      </c>
      <c r="Q40" s="43">
        <f t="shared" si="7"/>
        <v>0</v>
      </c>
      <c r="R40" s="49" t="str">
        <f t="shared" ref="R40:W40" si="130">SUMIF(Tableau!$A:$A,$A40,Tableau!E:E)</f>
        <v>#N/A</v>
      </c>
      <c r="S40" s="49" t="str">
        <f t="shared" si="130"/>
        <v>#N/A</v>
      </c>
      <c r="T40" s="49" t="str">
        <f t="shared" si="130"/>
        <v>#N/A</v>
      </c>
      <c r="U40" s="49" t="str">
        <f t="shared" si="130"/>
        <v>#N/A</v>
      </c>
      <c r="V40" s="49" t="str">
        <f t="shared" si="130"/>
        <v>#N/A</v>
      </c>
      <c r="W40" s="49" t="str">
        <f t="shared" si="130"/>
        <v>#N/A</v>
      </c>
      <c r="X40" s="49" t="str">
        <f t="shared" ref="X40:AC40" si="131">SUMIF(Tableau!$A:$A,$A40,Tableau!P:P)</f>
        <v>#N/A</v>
      </c>
      <c r="Y40" s="49" t="str">
        <f t="shared" si="131"/>
        <v>#N/A</v>
      </c>
      <c r="Z40" s="49" t="str">
        <f t="shared" si="131"/>
        <v>#N/A</v>
      </c>
      <c r="AA40" s="49" t="str">
        <f t="shared" si="131"/>
        <v>#N/A</v>
      </c>
      <c r="AB40" s="49" t="str">
        <f t="shared" si="131"/>
        <v>#N/A</v>
      </c>
      <c r="AC40" s="49" t="str">
        <f t="shared" si="131"/>
        <v>#N/A</v>
      </c>
      <c r="AL40" s="22">
        <f t="shared" ref="AL40:AL45" si="135">SUM(AF40:AK40)</f>
        <v>41943.79333</v>
      </c>
      <c r="AN40" s="24"/>
      <c r="AV40" s="22">
        <f t="shared" si="44"/>
        <v>4000</v>
      </c>
      <c r="AX40" s="25"/>
      <c r="BF40" s="27" t="str">
        <f t="shared" si="51"/>
        <v>#N/A</v>
      </c>
      <c r="BH40" s="49" t="s">
        <v>100</v>
      </c>
      <c r="BI40" s="110">
        <v>0.0</v>
      </c>
      <c r="BJ40" s="110">
        <v>0.0</v>
      </c>
      <c r="BK40" s="110">
        <v>0.0</v>
      </c>
      <c r="BL40" s="110">
        <v>312.0</v>
      </c>
      <c r="BM40" s="110">
        <v>60.0</v>
      </c>
      <c r="BN40" s="110">
        <v>0.0</v>
      </c>
      <c r="BO40" s="110">
        <v>200.0</v>
      </c>
      <c r="BR40" s="25"/>
      <c r="CF40" s="27">
        <f t="shared" ref="CF40:CK40" si="132">IFERROR(BT40/BZ40,0)</f>
        <v>0</v>
      </c>
      <c r="CG40" s="27">
        <f t="shared" si="132"/>
        <v>0</v>
      </c>
      <c r="CH40" s="27">
        <f t="shared" si="132"/>
        <v>0</v>
      </c>
      <c r="CI40" s="27">
        <f t="shared" si="132"/>
        <v>0</v>
      </c>
      <c r="CJ40" s="27">
        <f t="shared" si="132"/>
        <v>0</v>
      </c>
      <c r="CK40" s="27">
        <f t="shared" si="132"/>
        <v>0</v>
      </c>
    </row>
    <row r="41" ht="18.0" customHeight="1">
      <c r="A41" s="30" t="str">
        <f>Data2026!A45</f>
        <v>SAIDIteam</v>
      </c>
      <c r="B41" s="9">
        <f>Data2026!B45</f>
        <v>46139</v>
      </c>
      <c r="C41" s="11" t="str">
        <f>Data2026!C45</f>
        <v>Fixed</v>
      </c>
      <c r="D41" s="12" t="str">
        <f>Data2026!D45</f>
        <v>SAIDIteam</v>
      </c>
      <c r="E41" s="12" t="str">
        <f>Data2026!E45</f>
        <v>Nini_B</v>
      </c>
      <c r="F41" s="9">
        <f>Data2026!F45</f>
        <v>46139</v>
      </c>
      <c r="G41" s="70">
        <f>Data2026!G45</f>
        <v>5000.86</v>
      </c>
      <c r="H41" s="30" t="str">
        <f>Data2026!H45</f>
        <v>Finished</v>
      </c>
      <c r="I41" s="30" t="str">
        <f>Data2026!I45</f>
        <v>Influence</v>
      </c>
      <c r="J41" s="9">
        <f>Data2026!J45</f>
        <v>46157</v>
      </c>
      <c r="K41" s="9">
        <f>Data2026!K45</f>
        <v>46174</v>
      </c>
      <c r="L41" s="43">
        <f t="shared" si="2"/>
        <v>0</v>
      </c>
      <c r="M41" s="43">
        <f t="shared" si="3"/>
        <v>0</v>
      </c>
      <c r="N41" s="43">
        <f t="shared" si="4"/>
        <v>0</v>
      </c>
      <c r="O41" s="43">
        <f t="shared" si="5"/>
        <v>0</v>
      </c>
      <c r="P41" s="43">
        <f t="shared" si="6"/>
        <v>5000.86</v>
      </c>
      <c r="Q41" s="43">
        <f t="shared" si="7"/>
        <v>0</v>
      </c>
      <c r="R41" s="49" t="str">
        <f t="shared" ref="R41:W41" si="133">SUMIF(Tableau!$A:$A,$A41,Tableau!E:E)</f>
        <v>#N/A</v>
      </c>
      <c r="S41" s="49" t="str">
        <f t="shared" si="133"/>
        <v>#N/A</v>
      </c>
      <c r="T41" s="49" t="str">
        <f t="shared" si="133"/>
        <v>#N/A</v>
      </c>
      <c r="U41" s="49" t="str">
        <f t="shared" si="133"/>
        <v>#N/A</v>
      </c>
      <c r="V41" s="49" t="str">
        <f t="shared" si="133"/>
        <v>#N/A</v>
      </c>
      <c r="W41" s="49" t="str">
        <f t="shared" si="133"/>
        <v>#N/A</v>
      </c>
      <c r="X41" s="49" t="str">
        <f t="shared" ref="X41:AC41" si="134">SUMIF(Tableau!$A:$A,$A41,Tableau!P:P)</f>
        <v>#N/A</v>
      </c>
      <c r="Y41" s="49" t="str">
        <f t="shared" si="134"/>
        <v>#N/A</v>
      </c>
      <c r="Z41" s="49" t="str">
        <f t="shared" si="134"/>
        <v>#N/A</v>
      </c>
      <c r="AA41" s="49" t="str">
        <f t="shared" si="134"/>
        <v>#N/A</v>
      </c>
      <c r="AB41" s="49" t="str">
        <f t="shared" si="134"/>
        <v>#N/A</v>
      </c>
      <c r="AC41" s="49" t="str">
        <f t="shared" si="134"/>
        <v>#N/A</v>
      </c>
      <c r="AL41" s="22">
        <f t="shared" si="135"/>
        <v>72278.18609</v>
      </c>
      <c r="AN41" s="24"/>
      <c r="AV41" s="22">
        <f t="shared" si="44"/>
        <v>200</v>
      </c>
      <c r="AX41" s="25"/>
      <c r="BF41" s="27" t="str">
        <f t="shared" si="51"/>
        <v>#N/A</v>
      </c>
      <c r="BH41" s="49" t="s">
        <v>83</v>
      </c>
      <c r="BI41" s="110">
        <v>0.0</v>
      </c>
      <c r="BJ41" s="110">
        <v>0.0</v>
      </c>
      <c r="BK41" s="110">
        <v>0.0</v>
      </c>
      <c r="BL41" s="110">
        <v>0.0</v>
      </c>
      <c r="BM41" s="110">
        <v>0.0</v>
      </c>
      <c r="BN41" s="110">
        <v>0.0</v>
      </c>
      <c r="BO41" s="110">
        <v>400.0</v>
      </c>
      <c r="BR41" s="25"/>
      <c r="CF41" s="27">
        <f t="shared" ref="CF41:CK41" si="136">IFERROR(BT41/BZ41,0)</f>
        <v>0</v>
      </c>
      <c r="CG41" s="27">
        <f t="shared" si="136"/>
        <v>0</v>
      </c>
      <c r="CH41" s="27">
        <f t="shared" si="136"/>
        <v>0</v>
      </c>
      <c r="CI41" s="27">
        <f t="shared" si="136"/>
        <v>0</v>
      </c>
      <c r="CJ41" s="27">
        <f t="shared" si="136"/>
        <v>0</v>
      </c>
      <c r="CK41" s="27">
        <f t="shared" si="136"/>
        <v>0</v>
      </c>
    </row>
    <row r="42" ht="18.0" customHeight="1">
      <c r="A42" s="30" t="str">
        <f>Data2026!A47</f>
        <v>Cybertribe</v>
      </c>
      <c r="B42" s="9">
        <f>Data2026!B47</f>
        <v>46174</v>
      </c>
      <c r="C42" s="11" t="str">
        <f>Data2026!C47</f>
        <v>Fixed</v>
      </c>
      <c r="D42" s="12" t="str">
        <f>Data2026!D47</f>
        <v>Cybertribe</v>
      </c>
      <c r="E42" s="12" t="str">
        <f>Data2026!E47</f>
        <v>Nini_B</v>
      </c>
      <c r="F42" s="9">
        <f>Data2026!F47</f>
        <v>46327</v>
      </c>
      <c r="G42" s="70">
        <f>Data2026!G47</f>
        <v>20383.4</v>
      </c>
      <c r="H42" s="30" t="str">
        <f>Data2026!H47</f>
        <v>Ongoing</v>
      </c>
      <c r="I42" s="30" t="str">
        <f>Data2026!I47</f>
        <v>Influence</v>
      </c>
      <c r="J42" s="9">
        <f>Data2026!J47</f>
        <v>46174</v>
      </c>
      <c r="K42" s="9">
        <f>Data2026!K47</f>
        <v>46356</v>
      </c>
      <c r="L42" s="43">
        <f t="shared" si="2"/>
        <v>0</v>
      </c>
      <c r="M42" s="43">
        <f t="shared" si="3"/>
        <v>0</v>
      </c>
      <c r="N42" s="43">
        <f t="shared" si="4"/>
        <v>0</v>
      </c>
      <c r="O42" s="43">
        <f t="shared" si="5"/>
        <v>0</v>
      </c>
      <c r="P42" s="43">
        <f t="shared" si="6"/>
        <v>0</v>
      </c>
      <c r="Q42" s="43">
        <f t="shared" si="7"/>
        <v>3359.901099</v>
      </c>
      <c r="R42" s="49" t="str">
        <f t="shared" ref="R42:W42" si="137">SUMIF(Tableau!$A:$A,$A42,Tableau!E:E)</f>
        <v>#N/A</v>
      </c>
      <c r="S42" s="49" t="str">
        <f t="shared" si="137"/>
        <v>#N/A</v>
      </c>
      <c r="T42" s="49" t="str">
        <f t="shared" si="137"/>
        <v>#N/A</v>
      </c>
      <c r="U42" s="49" t="str">
        <f t="shared" si="137"/>
        <v>#N/A</v>
      </c>
      <c r="V42" s="49" t="str">
        <f t="shared" si="137"/>
        <v>#N/A</v>
      </c>
      <c r="W42" s="49" t="str">
        <f t="shared" si="137"/>
        <v>#N/A</v>
      </c>
      <c r="X42" s="49" t="str">
        <f t="shared" ref="X42:AC42" si="138">SUMIF(Tableau!$A:$A,$A42,Tableau!P:P)</f>
        <v>#N/A</v>
      </c>
      <c r="Y42" s="49" t="str">
        <f t="shared" si="138"/>
        <v>#N/A</v>
      </c>
      <c r="Z42" s="49" t="str">
        <f t="shared" si="138"/>
        <v>#N/A</v>
      </c>
      <c r="AA42" s="49" t="str">
        <f t="shared" si="138"/>
        <v>#N/A</v>
      </c>
      <c r="AB42" s="49" t="str">
        <f t="shared" si="138"/>
        <v>#N/A</v>
      </c>
      <c r="AC42" s="49" t="str">
        <f t="shared" si="138"/>
        <v>#N/A</v>
      </c>
      <c r="AL42" s="22">
        <f t="shared" si="135"/>
        <v>21162.41455</v>
      </c>
      <c r="AN42" s="24"/>
      <c r="AV42" s="22">
        <f t="shared" si="44"/>
        <v>2708.04</v>
      </c>
      <c r="AX42" s="25"/>
      <c r="BF42" s="27" t="str">
        <f t="shared" si="51"/>
        <v>#N/A</v>
      </c>
      <c r="BH42" s="49" t="s">
        <v>177</v>
      </c>
      <c r="BI42" s="110">
        <v>0.0</v>
      </c>
      <c r="BJ42" s="110">
        <v>0.0</v>
      </c>
      <c r="BK42" s="110">
        <v>0.0</v>
      </c>
      <c r="BL42" s="110">
        <v>0.0</v>
      </c>
      <c r="BM42" s="110">
        <v>0.0</v>
      </c>
      <c r="BN42" s="110">
        <v>0.0</v>
      </c>
      <c r="BO42" s="110">
        <v>0.0</v>
      </c>
      <c r="BR42" s="25"/>
      <c r="CF42" s="27">
        <f t="shared" ref="CF42:CK42" si="139">IFERROR(BT42/BZ42,0)</f>
        <v>0</v>
      </c>
      <c r="CG42" s="27">
        <f t="shared" si="139"/>
        <v>0</v>
      </c>
      <c r="CH42" s="27">
        <f t="shared" si="139"/>
        <v>0</v>
      </c>
      <c r="CI42" s="27">
        <f t="shared" si="139"/>
        <v>0</v>
      </c>
      <c r="CJ42" s="27">
        <f t="shared" si="139"/>
        <v>0</v>
      </c>
      <c r="CK42" s="27">
        <f t="shared" si="139"/>
        <v>0</v>
      </c>
    </row>
    <row r="43" ht="18.0" customHeight="1">
      <c r="A43" s="30" t="str">
        <f>Data2026!A48</f>
        <v>Upshiftmedia</v>
      </c>
      <c r="B43" s="9">
        <f>Data2026!B48</f>
        <v>46141</v>
      </c>
      <c r="C43" s="11" t="str">
        <f>Data2026!C48</f>
        <v>Fixed</v>
      </c>
      <c r="D43" s="12" t="str">
        <f>Data2026!D48</f>
        <v>Upshiftmedia</v>
      </c>
      <c r="E43" s="12" t="str">
        <f>Data2026!E48</f>
        <v>Nini_B</v>
      </c>
      <c r="F43" s="9">
        <f>Data2026!F48</f>
        <v>46141</v>
      </c>
      <c r="G43" s="70">
        <f>Data2026!G48</f>
        <v>4000</v>
      </c>
      <c r="H43" s="30" t="str">
        <f>Data2026!H48</f>
        <v>Finished</v>
      </c>
      <c r="I43" s="30" t="str">
        <f>Data2026!I48</f>
        <v>SEO</v>
      </c>
      <c r="J43" s="9">
        <f>Data2026!J48</f>
        <v>46143</v>
      </c>
      <c r="K43" s="9">
        <f>Data2026!K48</f>
        <v>46174</v>
      </c>
      <c r="L43" s="43">
        <f t="shared" si="2"/>
        <v>0</v>
      </c>
      <c r="M43" s="43">
        <f t="shared" si="3"/>
        <v>0</v>
      </c>
      <c r="N43" s="43">
        <f t="shared" si="4"/>
        <v>0</v>
      </c>
      <c r="O43" s="43">
        <f t="shared" si="5"/>
        <v>0</v>
      </c>
      <c r="P43" s="43">
        <f t="shared" si="6"/>
        <v>4000</v>
      </c>
      <c r="Q43" s="43">
        <f t="shared" si="7"/>
        <v>0</v>
      </c>
      <c r="R43" s="49" t="str">
        <f t="shared" ref="R43:W43" si="140">SUMIF(Tableau!$A:$A,$A43,Tableau!E:E)</f>
        <v>#N/A</v>
      </c>
      <c r="S43" s="49" t="str">
        <f t="shared" si="140"/>
        <v>#N/A</v>
      </c>
      <c r="T43" s="49" t="str">
        <f t="shared" si="140"/>
        <v>#N/A</v>
      </c>
      <c r="U43" s="49" t="str">
        <f t="shared" si="140"/>
        <v>#N/A</v>
      </c>
      <c r="V43" s="49" t="str">
        <f t="shared" si="140"/>
        <v>#N/A</v>
      </c>
      <c r="W43" s="49" t="str">
        <f t="shared" si="140"/>
        <v>#N/A</v>
      </c>
      <c r="X43" s="49" t="str">
        <f t="shared" ref="X43:AC43" si="141">SUMIF(Tableau!$A:$A,$A43,Tableau!P:P)</f>
        <v>#N/A</v>
      </c>
      <c r="Y43" s="49" t="str">
        <f t="shared" si="141"/>
        <v>#N/A</v>
      </c>
      <c r="Z43" s="49" t="str">
        <f t="shared" si="141"/>
        <v>#N/A</v>
      </c>
      <c r="AA43" s="49" t="str">
        <f t="shared" si="141"/>
        <v>#N/A</v>
      </c>
      <c r="AB43" s="49" t="str">
        <f t="shared" si="141"/>
        <v>#N/A</v>
      </c>
      <c r="AC43" s="49" t="str">
        <f t="shared" si="141"/>
        <v>#N/A</v>
      </c>
      <c r="AL43" s="22">
        <f t="shared" si="135"/>
        <v>148775.7284</v>
      </c>
      <c r="AN43" s="24"/>
      <c r="AV43" s="22">
        <f t="shared" si="44"/>
        <v>1361.18</v>
      </c>
      <c r="AX43" s="25"/>
      <c r="BF43" s="27" t="str">
        <f t="shared" si="51"/>
        <v>#N/A</v>
      </c>
      <c r="BH43" s="49" t="s">
        <v>96</v>
      </c>
      <c r="BI43" s="110">
        <v>0.0</v>
      </c>
      <c r="BJ43" s="110">
        <v>0.0</v>
      </c>
      <c r="BK43" s="110">
        <v>60.08094444444444</v>
      </c>
      <c r="BL43" s="110">
        <v>134.68695238095236</v>
      </c>
      <c r="BM43" s="110">
        <v>0.0</v>
      </c>
      <c r="BN43" s="110">
        <v>0.0</v>
      </c>
      <c r="BO43" s="110">
        <v>87.56736842105262</v>
      </c>
      <c r="BR43" s="25"/>
      <c r="CF43" s="27">
        <f t="shared" ref="CF43:CK43" si="142">IFERROR(BT43/BZ43,0)</f>
        <v>0</v>
      </c>
      <c r="CG43" s="27">
        <f t="shared" si="142"/>
        <v>0</v>
      </c>
      <c r="CH43" s="27">
        <f t="shared" si="142"/>
        <v>0</v>
      </c>
      <c r="CI43" s="27">
        <f t="shared" si="142"/>
        <v>0</v>
      </c>
      <c r="CJ43" s="27">
        <f t="shared" si="142"/>
        <v>0</v>
      </c>
      <c r="CK43" s="27">
        <f t="shared" si="142"/>
        <v>0</v>
      </c>
    </row>
    <row r="44" ht="18.0" customHeight="1">
      <c r="A44" s="30" t="str">
        <f>Data2026!A49</f>
        <v>kasper12345</v>
      </c>
      <c r="B44" s="9">
        <f>Data2026!B49</f>
        <v>46141</v>
      </c>
      <c r="C44" s="11" t="str">
        <f>Data2026!C49</f>
        <v>Fixed</v>
      </c>
      <c r="D44" s="12" t="str">
        <f>Data2026!D49</f>
        <v>kasper12345</v>
      </c>
      <c r="E44" s="12" t="str">
        <f>Data2026!E49</f>
        <v>Elene_Gh</v>
      </c>
      <c r="F44" s="9">
        <f>Data2026!F49</f>
        <v>46141</v>
      </c>
      <c r="G44" s="70">
        <f>Data2026!G49</f>
        <v>3000</v>
      </c>
      <c r="H44" s="30" t="str">
        <f>Data2026!H49</f>
        <v>Finished</v>
      </c>
      <c r="I44" s="30" t="str">
        <f>Data2026!I49</f>
        <v>SEO</v>
      </c>
      <c r="J44" s="9">
        <f>Data2026!J49</f>
        <v>46141</v>
      </c>
      <c r="K44" s="9">
        <f>Data2026!K49</f>
        <v>46171</v>
      </c>
      <c r="L44" s="43">
        <f t="shared" si="2"/>
        <v>0</v>
      </c>
      <c r="M44" s="43">
        <f t="shared" si="3"/>
        <v>0</v>
      </c>
      <c r="N44" s="43">
        <f t="shared" si="4"/>
        <v>0</v>
      </c>
      <c r="O44" s="43">
        <f t="shared" si="5"/>
        <v>200</v>
      </c>
      <c r="P44" s="43">
        <f t="shared" si="6"/>
        <v>2800</v>
      </c>
      <c r="Q44" s="43">
        <f t="shared" si="7"/>
        <v>0</v>
      </c>
      <c r="R44" s="49" t="str">
        <f t="shared" ref="R44:W44" si="143">SUMIF(Tableau!$A:$A,$A44,Tableau!E:E)</f>
        <v>#N/A</v>
      </c>
      <c r="S44" s="49" t="str">
        <f t="shared" si="143"/>
        <v>#N/A</v>
      </c>
      <c r="T44" s="49" t="str">
        <f t="shared" si="143"/>
        <v>#N/A</v>
      </c>
      <c r="U44" s="49" t="str">
        <f t="shared" si="143"/>
        <v>#N/A</v>
      </c>
      <c r="V44" s="49" t="str">
        <f t="shared" si="143"/>
        <v>#N/A</v>
      </c>
      <c r="W44" s="49" t="str">
        <f t="shared" si="143"/>
        <v>#N/A</v>
      </c>
      <c r="X44" s="49" t="str">
        <f t="shared" ref="X44:AC44" si="144">SUMIF(Tableau!$A:$A,$A44,Tableau!P:P)</f>
        <v>#N/A</v>
      </c>
      <c r="Y44" s="49" t="str">
        <f t="shared" si="144"/>
        <v>#N/A</v>
      </c>
      <c r="Z44" s="49" t="str">
        <f t="shared" si="144"/>
        <v>#N/A</v>
      </c>
      <c r="AA44" s="49" t="str">
        <f t="shared" si="144"/>
        <v>#N/A</v>
      </c>
      <c r="AB44" s="49" t="str">
        <f t="shared" si="144"/>
        <v>#N/A</v>
      </c>
      <c r="AC44" s="49" t="str">
        <f t="shared" si="144"/>
        <v>#N/A</v>
      </c>
      <c r="AL44" s="22">
        <f t="shared" si="135"/>
        <v>284160.1224</v>
      </c>
      <c r="AN44" s="24"/>
      <c r="AV44" s="22">
        <f t="shared" si="44"/>
        <v>0</v>
      </c>
      <c r="AX44" s="25"/>
      <c r="BF44" s="27" t="str">
        <f t="shared" si="51"/>
        <v>#N/A</v>
      </c>
      <c r="BH44" s="49" t="s">
        <v>90</v>
      </c>
      <c r="BI44" s="110">
        <v>0.0</v>
      </c>
      <c r="BJ44" s="110">
        <v>0.0</v>
      </c>
      <c r="BK44" s="110">
        <v>0.0</v>
      </c>
      <c r="BL44" s="110">
        <v>0.0</v>
      </c>
      <c r="BM44" s="110">
        <v>0.0</v>
      </c>
      <c r="BN44" s="110">
        <v>0.0</v>
      </c>
      <c r="BO44" s="110">
        <v>0.0</v>
      </c>
      <c r="BR44" s="25"/>
      <c r="CF44" s="27">
        <f t="shared" ref="CF44:CK44" si="145">IFERROR(BT44/BZ44,0)</f>
        <v>0</v>
      </c>
      <c r="CG44" s="27">
        <f t="shared" si="145"/>
        <v>0</v>
      </c>
      <c r="CH44" s="27">
        <f t="shared" si="145"/>
        <v>0</v>
      </c>
      <c r="CI44" s="27">
        <f t="shared" si="145"/>
        <v>0</v>
      </c>
      <c r="CJ44" s="27">
        <f t="shared" si="145"/>
        <v>0</v>
      </c>
      <c r="CK44" s="27">
        <f t="shared" si="145"/>
        <v>0</v>
      </c>
    </row>
    <row r="45" ht="18.0" customHeight="1">
      <c r="A45" s="30" t="str">
        <f>Data2026!A50</f>
        <v>PlayPartners</v>
      </c>
      <c r="B45" s="9">
        <f>Data2026!B50</f>
        <v>46141</v>
      </c>
      <c r="C45" s="11" t="str">
        <f>Data2026!C50</f>
        <v>CPA</v>
      </c>
      <c r="D45" s="12" t="str">
        <f>Data2026!D50</f>
        <v>PlayPartners</v>
      </c>
      <c r="E45" s="12" t="str">
        <f>Data2026!E50</f>
        <v>Nini_B</v>
      </c>
      <c r="F45" s="9">
        <f>Data2026!F50</f>
        <v>46141</v>
      </c>
      <c r="G45" s="70">
        <f>Data2026!G50</f>
        <v>1650</v>
      </c>
      <c r="H45" s="30" t="str">
        <f>Data2026!H50</f>
        <v>Finished</v>
      </c>
      <c r="I45" s="30" t="str">
        <f>Data2026!I50</f>
        <v>Meta</v>
      </c>
      <c r="J45" s="9">
        <f>Data2026!J50</f>
        <v>46078</v>
      </c>
      <c r="K45" s="9">
        <f>Data2026!K50</f>
        <v>46120</v>
      </c>
      <c r="L45" s="43">
        <f t="shared" si="2"/>
        <v>0</v>
      </c>
      <c r="M45" s="43">
        <f t="shared" si="3"/>
        <v>157.1428571</v>
      </c>
      <c r="N45" s="43">
        <f t="shared" si="4"/>
        <v>1217.857143</v>
      </c>
      <c r="O45" s="43">
        <f t="shared" si="5"/>
        <v>275</v>
      </c>
      <c r="P45" s="43">
        <f t="shared" si="6"/>
        <v>0</v>
      </c>
      <c r="Q45" s="43">
        <f t="shared" si="7"/>
        <v>0</v>
      </c>
      <c r="R45" s="49" t="str">
        <f t="shared" ref="R45:W45" si="146">SUMIF(Tableau!$A:$A,$A45,Tableau!E:E)</f>
        <v>#N/A</v>
      </c>
      <c r="S45" s="49" t="str">
        <f t="shared" si="146"/>
        <v>#N/A</v>
      </c>
      <c r="T45" s="49" t="str">
        <f t="shared" si="146"/>
        <v>#N/A</v>
      </c>
      <c r="U45" s="49" t="str">
        <f t="shared" si="146"/>
        <v>#N/A</v>
      </c>
      <c r="V45" s="49" t="str">
        <f t="shared" si="146"/>
        <v>#N/A</v>
      </c>
      <c r="W45" s="49" t="str">
        <f t="shared" si="146"/>
        <v>#N/A</v>
      </c>
      <c r="X45" s="49" t="str">
        <f t="shared" ref="X45:AC45" si="147">SUMIF(Tableau!$A:$A,$A45,Tableau!P:P)</f>
        <v>#N/A</v>
      </c>
      <c r="Y45" s="49" t="str">
        <f t="shared" si="147"/>
        <v>#N/A</v>
      </c>
      <c r="Z45" s="49" t="str">
        <f t="shared" si="147"/>
        <v>#N/A</v>
      </c>
      <c r="AA45" s="49" t="str">
        <f t="shared" si="147"/>
        <v>#N/A</v>
      </c>
      <c r="AB45" s="49" t="str">
        <f t="shared" si="147"/>
        <v>#N/A</v>
      </c>
      <c r="AC45" s="49" t="str">
        <f t="shared" si="147"/>
        <v>#N/A</v>
      </c>
      <c r="AE45" s="22"/>
      <c r="AF45" s="22"/>
      <c r="AG45" s="22"/>
      <c r="AH45" s="22"/>
      <c r="AI45" s="22"/>
      <c r="AJ45" s="22"/>
      <c r="AK45" s="22"/>
      <c r="AL45" s="104">
        <f t="shared" si="135"/>
        <v>0</v>
      </c>
      <c r="AN45" s="24"/>
      <c r="AV45" s="22">
        <f t="shared" si="44"/>
        <v>5000.86</v>
      </c>
      <c r="AX45" s="25"/>
      <c r="BF45" s="27" t="str">
        <f t="shared" si="51"/>
        <v>#N/A</v>
      </c>
      <c r="BH45" s="49" t="s">
        <v>129</v>
      </c>
      <c r="BI45" s="110">
        <v>0.0</v>
      </c>
      <c r="BJ45" s="110">
        <v>0.0</v>
      </c>
      <c r="BK45" s="110">
        <v>0.0</v>
      </c>
      <c r="BL45" s="110">
        <v>0.0</v>
      </c>
      <c r="BM45" s="110">
        <v>33.519642857142856</v>
      </c>
      <c r="BN45" s="110">
        <v>0.0</v>
      </c>
      <c r="BO45" s="110">
        <v>33.519642857142856</v>
      </c>
      <c r="BR45" s="25"/>
      <c r="CF45" s="27">
        <f t="shared" ref="CF45:CK45" si="148">IFERROR(BT45/BZ45,0)</f>
        <v>0</v>
      </c>
      <c r="CG45" s="27">
        <f t="shared" si="148"/>
        <v>0</v>
      </c>
      <c r="CH45" s="27">
        <f t="shared" si="148"/>
        <v>0</v>
      </c>
      <c r="CI45" s="27">
        <f t="shared" si="148"/>
        <v>0</v>
      </c>
      <c r="CJ45" s="27">
        <f t="shared" si="148"/>
        <v>0</v>
      </c>
      <c r="CK45" s="27">
        <f t="shared" si="148"/>
        <v>0</v>
      </c>
    </row>
    <row r="46" ht="18.0" customHeight="1">
      <c r="A46" s="30" t="str">
        <f>Data2026!A51</f>
        <v>PlayPartners</v>
      </c>
      <c r="B46" s="9">
        <f>Data2026!B51</f>
        <v>46141</v>
      </c>
      <c r="C46" s="11" t="str">
        <f>Data2026!C51</f>
        <v>CPA</v>
      </c>
      <c r="D46" s="12" t="str">
        <f>Data2026!D51</f>
        <v>PlayPartners</v>
      </c>
      <c r="E46" s="12" t="str">
        <f>Data2026!E51</f>
        <v>Nini_B</v>
      </c>
      <c r="F46" s="9">
        <f>Data2026!F51</f>
        <v>46141</v>
      </c>
      <c r="G46" s="70">
        <f>Data2026!G51</f>
        <v>1650</v>
      </c>
      <c r="H46" s="30" t="str">
        <f>Data2026!H51</f>
        <v>Finished</v>
      </c>
      <c r="I46" s="30" t="str">
        <f>Data2026!I51</f>
        <v>Meta</v>
      </c>
      <c r="J46" s="9">
        <f>Data2026!J51</f>
        <v>46078</v>
      </c>
      <c r="K46" s="9">
        <f>Data2026!K51</f>
        <v>46120</v>
      </c>
      <c r="L46" s="43">
        <f t="shared" si="2"/>
        <v>0</v>
      </c>
      <c r="M46" s="43">
        <f t="shared" si="3"/>
        <v>157.1428571</v>
      </c>
      <c r="N46" s="43">
        <f t="shared" si="4"/>
        <v>1217.857143</v>
      </c>
      <c r="O46" s="43">
        <f t="shared" si="5"/>
        <v>275</v>
      </c>
      <c r="P46" s="43">
        <f t="shared" si="6"/>
        <v>0</v>
      </c>
      <c r="Q46" s="43">
        <f t="shared" si="7"/>
        <v>0</v>
      </c>
      <c r="W46" s="49" t="str">
        <f>SUMIF(Tableau!$A:$A,$A46,Tableau!J:J)</f>
        <v>#N/A</v>
      </c>
      <c r="X46" s="49" t="str">
        <f t="shared" ref="X46:Y46" si="149">SUMIF(Tableau!$A:$A,$A46,Tableau!P:P)</f>
        <v>#N/A</v>
      </c>
      <c r="Y46" s="49" t="str">
        <f t="shared" si="149"/>
        <v>#N/A</v>
      </c>
      <c r="AA46" s="49" t="str">
        <f>SUMIF(Tableau!$A:$A,$A46,Tableau!S:S)</f>
        <v>#N/A</v>
      </c>
      <c r="AL46" s="24"/>
      <c r="AN46" s="24"/>
      <c r="AV46" s="22">
        <f t="shared" si="44"/>
        <v>256.68</v>
      </c>
      <c r="AX46" s="25"/>
      <c r="BF46" s="27" t="str">
        <f t="shared" si="51"/>
        <v>#N/A</v>
      </c>
      <c r="BH46" s="49" t="s">
        <v>108</v>
      </c>
      <c r="BI46" s="110">
        <v>0.0</v>
      </c>
      <c r="BJ46" s="110">
        <v>0.0</v>
      </c>
      <c r="BK46" s="110">
        <v>0.0</v>
      </c>
      <c r="BL46" s="110">
        <v>151.24222222222224</v>
      </c>
      <c r="BM46" s="110">
        <v>0.0</v>
      </c>
      <c r="BN46" s="110">
        <v>0.0</v>
      </c>
      <c r="BO46" s="110">
        <v>151.24222222222224</v>
      </c>
      <c r="BR46" s="25"/>
      <c r="CF46" s="27">
        <f t="shared" ref="CF46:CK46" si="150">IFERROR(BT46/BZ46,0)</f>
        <v>0</v>
      </c>
      <c r="CG46" s="27">
        <f t="shared" si="150"/>
        <v>0</v>
      </c>
      <c r="CH46" s="27">
        <f t="shared" si="150"/>
        <v>0</v>
      </c>
      <c r="CI46" s="27">
        <f t="shared" si="150"/>
        <v>0</v>
      </c>
      <c r="CJ46" s="27">
        <f t="shared" si="150"/>
        <v>0</v>
      </c>
      <c r="CK46" s="27">
        <f t="shared" si="150"/>
        <v>0</v>
      </c>
    </row>
    <row r="47" ht="18.0" customHeight="1">
      <c r="A47" s="30" t="str">
        <f>Data2026!A52</f>
        <v>glcanada</v>
      </c>
      <c r="B47" s="9">
        <f>Data2026!B52</f>
        <v>46142</v>
      </c>
      <c r="C47" s="11" t="str">
        <f>Data2026!C52</f>
        <v>Fixed</v>
      </c>
      <c r="D47" s="12" t="str">
        <f>Data2026!D52</f>
        <v>glcanada</v>
      </c>
      <c r="E47" s="12" t="str">
        <f>Data2026!E52</f>
        <v>Elene_Gh</v>
      </c>
      <c r="F47" s="9">
        <f>Data2026!F52</f>
        <v>46142</v>
      </c>
      <c r="G47" s="70">
        <f>Data2026!G52</f>
        <v>3500</v>
      </c>
      <c r="H47" s="30" t="str">
        <f>Data2026!H52</f>
        <v>Finished</v>
      </c>
      <c r="I47" s="30" t="str">
        <f>Data2026!I52</f>
        <v>SEO</v>
      </c>
      <c r="J47" s="9">
        <f>Data2026!J52</f>
        <v>46143</v>
      </c>
      <c r="K47" s="9">
        <f>Data2026!K52</f>
        <v>46203</v>
      </c>
      <c r="L47" s="43">
        <f t="shared" si="2"/>
        <v>0</v>
      </c>
      <c r="M47" s="43">
        <f t="shared" si="3"/>
        <v>0</v>
      </c>
      <c r="N47" s="43">
        <f t="shared" si="4"/>
        <v>0</v>
      </c>
      <c r="O47" s="43">
        <f t="shared" si="5"/>
        <v>0</v>
      </c>
      <c r="P47" s="43">
        <f t="shared" si="6"/>
        <v>1808.333333</v>
      </c>
      <c r="Q47" s="43">
        <f t="shared" si="7"/>
        <v>1691.666667</v>
      </c>
      <c r="R47" s="49" t="str">
        <f t="shared" ref="R47:W47" si="151">SUMIF(Tableau!$A:$A,$A47,Tableau!E:E)</f>
        <v>#N/A</v>
      </c>
      <c r="S47" s="49" t="str">
        <f t="shared" si="151"/>
        <v>#N/A</v>
      </c>
      <c r="T47" s="49" t="str">
        <f t="shared" si="151"/>
        <v>#N/A</v>
      </c>
      <c r="U47" s="49" t="str">
        <f t="shared" si="151"/>
        <v>#N/A</v>
      </c>
      <c r="V47" s="49" t="str">
        <f t="shared" si="151"/>
        <v>#N/A</v>
      </c>
      <c r="W47" s="49" t="str">
        <f t="shared" si="151"/>
        <v>#N/A</v>
      </c>
      <c r="X47" s="49" t="str">
        <f t="shared" ref="X47:AC47" si="152">SUMIF(Tableau!$A:$A,$A47,Tableau!P:P)</f>
        <v>#N/A</v>
      </c>
      <c r="Y47" s="49" t="str">
        <f t="shared" si="152"/>
        <v>#N/A</v>
      </c>
      <c r="Z47" s="49" t="str">
        <f t="shared" si="152"/>
        <v>#N/A</v>
      </c>
      <c r="AA47" s="49" t="str">
        <f t="shared" si="152"/>
        <v>#N/A</v>
      </c>
      <c r="AB47" s="49" t="str">
        <f t="shared" si="152"/>
        <v>#N/A</v>
      </c>
      <c r="AC47" s="49" t="str">
        <f t="shared" si="152"/>
        <v>#N/A</v>
      </c>
      <c r="AL47" s="23"/>
      <c r="AN47" s="24"/>
      <c r="AV47" s="22">
        <f t="shared" si="44"/>
        <v>1361.18</v>
      </c>
      <c r="AX47" s="25"/>
      <c r="BF47" s="27" t="str">
        <f t="shared" si="51"/>
        <v>#N/A</v>
      </c>
      <c r="BH47" s="49" t="s">
        <v>142</v>
      </c>
      <c r="BI47" s="110">
        <v>0.0</v>
      </c>
      <c r="BJ47" s="110">
        <v>0.0</v>
      </c>
      <c r="BK47" s="110">
        <v>0.0</v>
      </c>
      <c r="BL47" s="110">
        <v>0.0</v>
      </c>
      <c r="BM47" s="110">
        <v>70.39</v>
      </c>
      <c r="BN47" s="110">
        <v>0.0</v>
      </c>
      <c r="BO47" s="110">
        <v>70.39</v>
      </c>
      <c r="BR47" s="25"/>
      <c r="CF47" s="27">
        <f t="shared" ref="CF47:CK47" si="153">IFERROR(BT47/BZ47,0)</f>
        <v>0</v>
      </c>
      <c r="CG47" s="27">
        <f t="shared" si="153"/>
        <v>0</v>
      </c>
      <c r="CH47" s="27">
        <f t="shared" si="153"/>
        <v>0</v>
      </c>
      <c r="CI47" s="27">
        <f t="shared" si="153"/>
        <v>0</v>
      </c>
      <c r="CJ47" s="27">
        <f t="shared" si="153"/>
        <v>0</v>
      </c>
      <c r="CK47" s="27">
        <f t="shared" si="153"/>
        <v>0</v>
      </c>
    </row>
    <row r="48" ht="18.0" customHeight="1">
      <c r="A48" s="30" t="str">
        <f>Data2026!A53</f>
        <v>glcanada</v>
      </c>
      <c r="B48" s="9">
        <f>Data2026!B53</f>
        <v>46142</v>
      </c>
      <c r="C48" s="11" t="str">
        <f>Data2026!C53</f>
        <v>Fixed</v>
      </c>
      <c r="D48" s="12" t="str">
        <f>Data2026!D53</f>
        <v>glcanada</v>
      </c>
      <c r="E48" s="12" t="str">
        <f>Data2026!E53</f>
        <v>Elene_Gh</v>
      </c>
      <c r="F48" s="9">
        <f>Data2026!F53</f>
        <v>46142</v>
      </c>
      <c r="G48" s="70">
        <f>Data2026!G53</f>
        <v>3500</v>
      </c>
      <c r="H48" s="30" t="str">
        <f>Data2026!H53</f>
        <v>Finished</v>
      </c>
      <c r="I48" s="30" t="str">
        <f>Data2026!I53</f>
        <v>SEO</v>
      </c>
      <c r="J48" s="9">
        <f>Data2026!J53</f>
        <v>46143</v>
      </c>
      <c r="K48" s="9">
        <f>Data2026!K53</f>
        <v>46203</v>
      </c>
      <c r="L48" s="43">
        <f t="shared" si="2"/>
        <v>0</v>
      </c>
      <c r="M48" s="43">
        <f t="shared" si="3"/>
        <v>0</v>
      </c>
      <c r="N48" s="43">
        <f t="shared" si="4"/>
        <v>0</v>
      </c>
      <c r="O48" s="43">
        <f t="shared" si="5"/>
        <v>0</v>
      </c>
      <c r="P48" s="43">
        <f t="shared" si="6"/>
        <v>1808.333333</v>
      </c>
      <c r="Q48" s="43">
        <f t="shared" si="7"/>
        <v>1691.666667</v>
      </c>
      <c r="R48" s="49" t="str">
        <f t="shared" ref="R48:W48" si="154">SUMIF(Tableau!$A:$A,$A48,Tableau!E:E)</f>
        <v>#N/A</v>
      </c>
      <c r="S48" s="49" t="str">
        <f t="shared" si="154"/>
        <v>#N/A</v>
      </c>
      <c r="T48" s="49" t="str">
        <f t="shared" si="154"/>
        <v>#N/A</v>
      </c>
      <c r="U48" s="49" t="str">
        <f t="shared" si="154"/>
        <v>#N/A</v>
      </c>
      <c r="V48" s="49" t="str">
        <f t="shared" si="154"/>
        <v>#N/A</v>
      </c>
      <c r="W48" s="49" t="str">
        <f t="shared" si="154"/>
        <v>#N/A</v>
      </c>
      <c r="X48" s="49" t="str">
        <f t="shared" ref="X48:AB48" si="155">SUMIF(Tableau!$A:$A,$A48,Tableau!P:P)</f>
        <v>#N/A</v>
      </c>
      <c r="Y48" s="49" t="str">
        <f t="shared" si="155"/>
        <v>#N/A</v>
      </c>
      <c r="Z48" s="49" t="str">
        <f t="shared" si="155"/>
        <v>#N/A</v>
      </c>
      <c r="AA48" s="49" t="str">
        <f t="shared" si="155"/>
        <v>#N/A</v>
      </c>
      <c r="AB48" s="49" t="str">
        <f t="shared" si="155"/>
        <v>#N/A</v>
      </c>
      <c r="AL48" s="56" t="s">
        <v>27</v>
      </c>
      <c r="AN48" s="24"/>
      <c r="AV48" s="22">
        <f t="shared" si="44"/>
        <v>2815.65</v>
      </c>
      <c r="AX48" s="25"/>
      <c r="BF48" s="27" t="str">
        <f t="shared" si="51"/>
        <v>#N/A</v>
      </c>
      <c r="BH48" s="49" t="s">
        <v>104</v>
      </c>
      <c r="BI48" s="110">
        <v>0.0</v>
      </c>
      <c r="BJ48" s="110">
        <v>0.0</v>
      </c>
      <c r="BK48" s="110">
        <v>0.0</v>
      </c>
      <c r="BL48" s="110">
        <v>45.32866666666667</v>
      </c>
      <c r="BM48" s="110">
        <v>0.0</v>
      </c>
      <c r="BN48" s="110">
        <v>0.0</v>
      </c>
      <c r="BO48" s="110">
        <v>45.32866666666667</v>
      </c>
      <c r="BR48" s="25"/>
      <c r="CF48" s="27">
        <f t="shared" ref="CF48:CK48" si="156">IFERROR(BT48/BZ48,0)</f>
        <v>0</v>
      </c>
      <c r="CG48" s="27">
        <f t="shared" si="156"/>
        <v>0</v>
      </c>
      <c r="CH48" s="27">
        <f t="shared" si="156"/>
        <v>0</v>
      </c>
      <c r="CI48" s="27">
        <f t="shared" si="156"/>
        <v>0</v>
      </c>
      <c r="CJ48" s="27">
        <f t="shared" si="156"/>
        <v>0</v>
      </c>
      <c r="CK48" s="27">
        <f t="shared" si="156"/>
        <v>0</v>
      </c>
    </row>
    <row r="49" ht="18.0" customHeight="1">
      <c r="A49" s="30" t="str">
        <f>Data2026!A54</f>
        <v>Bbasher</v>
      </c>
      <c r="B49" s="9">
        <f>Data2026!B54</f>
        <v>46142</v>
      </c>
      <c r="C49" s="11" t="str">
        <f>Data2026!C54</f>
        <v>Fixed</v>
      </c>
      <c r="D49" s="12" t="str">
        <f>Data2026!D54</f>
        <v>Bbasher</v>
      </c>
      <c r="E49" s="12" t="str">
        <f>Data2026!E54</f>
        <v>Nini_B</v>
      </c>
      <c r="F49" s="9">
        <f>Data2026!F54</f>
        <v>46142</v>
      </c>
      <c r="G49" s="70">
        <f>Data2026!G54</f>
        <v>17000</v>
      </c>
      <c r="H49" s="30" t="str">
        <f>Data2026!H54</f>
        <v>Ongoing</v>
      </c>
      <c r="I49" s="30" t="str">
        <f>Data2026!I54</f>
        <v>Influence</v>
      </c>
      <c r="J49" s="9">
        <f>Data2026!J54</f>
        <v>46157</v>
      </c>
      <c r="K49" s="9">
        <f>Data2026!K54</f>
        <v>46249</v>
      </c>
      <c r="L49" s="43">
        <f t="shared" si="2"/>
        <v>0</v>
      </c>
      <c r="M49" s="43">
        <f t="shared" si="3"/>
        <v>0</v>
      </c>
      <c r="N49" s="43">
        <f t="shared" si="4"/>
        <v>0</v>
      </c>
      <c r="O49" s="43">
        <f t="shared" si="5"/>
        <v>0</v>
      </c>
      <c r="P49" s="43">
        <f t="shared" si="6"/>
        <v>3141.304348</v>
      </c>
      <c r="Q49" s="43">
        <f t="shared" si="7"/>
        <v>5543.478261</v>
      </c>
      <c r="R49" s="49" t="str">
        <f t="shared" ref="R49:W49" si="157">SUMIF(Tableau!$A:$A,$A49,Tableau!E:E)</f>
        <v>#N/A</v>
      </c>
      <c r="S49" s="49" t="str">
        <f t="shared" si="157"/>
        <v>#N/A</v>
      </c>
      <c r="T49" s="49" t="str">
        <f t="shared" si="157"/>
        <v>#N/A</v>
      </c>
      <c r="U49" s="49" t="str">
        <f t="shared" si="157"/>
        <v>#N/A</v>
      </c>
      <c r="V49" s="49" t="str">
        <f t="shared" si="157"/>
        <v>#N/A</v>
      </c>
      <c r="W49" s="49" t="str">
        <f t="shared" si="157"/>
        <v>#N/A</v>
      </c>
      <c r="X49" s="49" t="str">
        <f t="shared" ref="X49:AC49" si="158">SUMIF(Tableau!$A:$A,$A49,Tableau!P:P)</f>
        <v>#N/A</v>
      </c>
      <c r="Y49" s="49" t="str">
        <f t="shared" si="158"/>
        <v>#N/A</v>
      </c>
      <c r="Z49" s="49" t="str">
        <f t="shared" si="158"/>
        <v>#N/A</v>
      </c>
      <c r="AA49" s="49" t="str">
        <f t="shared" si="158"/>
        <v>#N/A</v>
      </c>
      <c r="AB49" s="49" t="str">
        <f t="shared" si="158"/>
        <v>#N/A</v>
      </c>
      <c r="AC49" s="49" t="str">
        <f t="shared" si="158"/>
        <v>#N/A</v>
      </c>
      <c r="AL49" s="22" t="str">
        <f t="shared" ref="AL49:AL55" si="161">SUM(AF49:AK49)</f>
        <v>#N/A</v>
      </c>
      <c r="AN49" s="24"/>
      <c r="AV49" s="22">
        <f t="shared" si="44"/>
        <v>1864.33</v>
      </c>
      <c r="AX49" s="25"/>
      <c r="BF49" s="27" t="str">
        <f t="shared" si="51"/>
        <v>#N/A</v>
      </c>
      <c r="BH49" s="49" t="s">
        <v>107</v>
      </c>
      <c r="BI49" s="110">
        <v>0.0</v>
      </c>
      <c r="BJ49" s="110">
        <v>0.0</v>
      </c>
      <c r="BK49" s="110">
        <v>0.0</v>
      </c>
      <c r="BL49" s="110">
        <v>72.34</v>
      </c>
      <c r="BM49" s="110">
        <v>0.0</v>
      </c>
      <c r="BN49" s="110">
        <v>0.0</v>
      </c>
      <c r="BO49" s="110">
        <v>72.34</v>
      </c>
      <c r="BR49" s="25"/>
      <c r="CF49" s="27"/>
      <c r="CG49" s="27"/>
      <c r="CH49" s="27"/>
      <c r="CI49" s="27"/>
      <c r="CJ49" s="27"/>
      <c r="CK49" s="27"/>
    </row>
    <row r="50" ht="18.0" customHeight="1">
      <c r="A50" s="30" t="str">
        <f>Data2026!A55</f>
        <v>clickelevate</v>
      </c>
      <c r="B50" s="9">
        <f>Data2026!B55</f>
        <v>46142</v>
      </c>
      <c r="C50" s="11" t="str">
        <f>Data2026!C55</f>
        <v>Fixed</v>
      </c>
      <c r="D50" s="12" t="str">
        <f>Data2026!D55</f>
        <v>clickelevate</v>
      </c>
      <c r="E50" s="12" t="str">
        <f>Data2026!E55</f>
        <v>Giorgi_Ts</v>
      </c>
      <c r="F50" s="9">
        <f>Data2026!F55</f>
        <v>46142</v>
      </c>
      <c r="G50" s="70">
        <f>Data2026!G55</f>
        <v>1666.66</v>
      </c>
      <c r="H50" s="30" t="str">
        <f>Data2026!H55</f>
        <v>Finished</v>
      </c>
      <c r="I50" s="30" t="str">
        <f>Data2026!I55</f>
        <v>SEO</v>
      </c>
      <c r="J50" s="9">
        <f>Data2026!J55</f>
        <v>46143</v>
      </c>
      <c r="K50" s="9">
        <f>Data2026!K55</f>
        <v>42521</v>
      </c>
      <c r="L50" s="43">
        <f t="shared" si="2"/>
        <v>0</v>
      </c>
      <c r="M50" s="43">
        <f t="shared" si="3"/>
        <v>0</v>
      </c>
      <c r="N50" s="43">
        <f t="shared" si="4"/>
        <v>0</v>
      </c>
      <c r="O50" s="43">
        <f t="shared" si="5"/>
        <v>0</v>
      </c>
      <c r="P50" s="43">
        <f t="shared" si="6"/>
        <v>1666.66</v>
      </c>
      <c r="Q50" s="43">
        <f t="shared" si="7"/>
        <v>0</v>
      </c>
      <c r="R50" s="49" t="str">
        <f t="shared" ref="R50:W50" si="159">SUMIF(Tableau!$A:$A,$A50,Tableau!E:E)</f>
        <v>#N/A</v>
      </c>
      <c r="S50" s="49" t="str">
        <f t="shared" si="159"/>
        <v>#N/A</v>
      </c>
      <c r="T50" s="49" t="str">
        <f t="shared" si="159"/>
        <v>#N/A</v>
      </c>
      <c r="U50" s="49" t="str">
        <f t="shared" si="159"/>
        <v>#N/A</v>
      </c>
      <c r="V50" s="49" t="str">
        <f t="shared" si="159"/>
        <v>#N/A</v>
      </c>
      <c r="W50" s="49" t="str">
        <f t="shared" si="159"/>
        <v>#N/A</v>
      </c>
      <c r="X50" s="49" t="str">
        <f t="shared" ref="X50:AC50" si="160">SUMIF(Tableau!$A:$A,$A50,Tableau!P:P)</f>
        <v>#N/A</v>
      </c>
      <c r="Y50" s="49" t="str">
        <f t="shared" si="160"/>
        <v>#N/A</v>
      </c>
      <c r="Z50" s="49" t="str">
        <f t="shared" si="160"/>
        <v>#N/A</v>
      </c>
      <c r="AA50" s="49" t="str">
        <f t="shared" si="160"/>
        <v>#N/A</v>
      </c>
      <c r="AB50" s="49" t="str">
        <f t="shared" si="160"/>
        <v>#N/A</v>
      </c>
      <c r="AC50" s="49" t="str">
        <f t="shared" si="160"/>
        <v>#N/A</v>
      </c>
      <c r="AL50" s="22" t="str">
        <f t="shared" si="161"/>
        <v>#N/A</v>
      </c>
      <c r="AN50" s="24"/>
      <c r="AV50" s="22">
        <f t="shared" si="44"/>
        <v>2189.06</v>
      </c>
      <c r="AX50" s="25"/>
      <c r="BF50" s="27" t="str">
        <f t="shared" si="51"/>
        <v>#N/A</v>
      </c>
      <c r="BH50" s="49" t="s">
        <v>135</v>
      </c>
      <c r="BI50" s="110">
        <v>0.0</v>
      </c>
      <c r="BJ50" s="110">
        <v>0.0</v>
      </c>
      <c r="BK50" s="110">
        <v>0.0</v>
      </c>
      <c r="BL50" s="110">
        <v>0.0</v>
      </c>
      <c r="BM50" s="110">
        <v>5.336672297297297</v>
      </c>
      <c r="BN50" s="110">
        <v>0.0</v>
      </c>
      <c r="BO50" s="110">
        <v>23.63383445945946</v>
      </c>
      <c r="BR50" s="25"/>
      <c r="CF50" s="27"/>
      <c r="CG50" s="27"/>
      <c r="CH50" s="27"/>
      <c r="CI50" s="27"/>
      <c r="CJ50" s="27"/>
      <c r="CK50" s="27"/>
    </row>
    <row r="51" ht="18.0" customHeight="1">
      <c r="A51" s="30" t="str">
        <f>Data2026!A56</f>
        <v>clickelevate</v>
      </c>
      <c r="B51" s="9">
        <f>Data2026!B56</f>
        <v>46142</v>
      </c>
      <c r="C51" s="11" t="str">
        <f>Data2026!C56</f>
        <v>Fixed</v>
      </c>
      <c r="D51" s="12" t="str">
        <f>Data2026!D56</f>
        <v>clickelevate</v>
      </c>
      <c r="E51" s="12" t="str">
        <f>Data2026!E56</f>
        <v>Giorgi_Ts</v>
      </c>
      <c r="F51" s="9">
        <f>Data2026!F56</f>
        <v>46142</v>
      </c>
      <c r="G51" s="70">
        <f>Data2026!G56</f>
        <v>1666.67</v>
      </c>
      <c r="H51" s="30" t="str">
        <f>Data2026!H56</f>
        <v>Finished</v>
      </c>
      <c r="I51" s="30" t="str">
        <f>Data2026!I56</f>
        <v>SEO</v>
      </c>
      <c r="J51" s="9">
        <f>Data2026!J56</f>
        <v>46143</v>
      </c>
      <c r="K51" s="9">
        <f>Data2026!K56</f>
        <v>42521</v>
      </c>
      <c r="L51" s="43">
        <f t="shared" si="2"/>
        <v>0</v>
      </c>
      <c r="M51" s="43">
        <f t="shared" si="3"/>
        <v>0</v>
      </c>
      <c r="N51" s="43">
        <f t="shared" si="4"/>
        <v>0</v>
      </c>
      <c r="O51" s="43">
        <f t="shared" si="5"/>
        <v>0</v>
      </c>
      <c r="P51" s="43">
        <f t="shared" si="6"/>
        <v>1666.67</v>
      </c>
      <c r="Q51" s="43">
        <f t="shared" si="7"/>
        <v>0</v>
      </c>
      <c r="R51" s="49" t="str">
        <f t="shared" ref="R51:U51" si="162">SUMIF(Tableau!$A:$A,$A51,Tableau!E:E)</f>
        <v>#N/A</v>
      </c>
      <c r="S51" s="49" t="str">
        <f t="shared" si="162"/>
        <v>#N/A</v>
      </c>
      <c r="T51" s="49" t="str">
        <f t="shared" si="162"/>
        <v>#N/A</v>
      </c>
      <c r="U51" s="49" t="str">
        <f t="shared" si="162"/>
        <v>#N/A</v>
      </c>
      <c r="W51" s="49" t="str">
        <f t="shared" ref="W51:W52" si="165">SUMIF(Tableau!$A:$A,$A51,Tableau!J:J)</f>
        <v>#N/A</v>
      </c>
      <c r="X51" s="49" t="str">
        <f t="shared" ref="X51:Y51" si="163">SUMIF(Tableau!$A:$A,$A51,Tableau!P:P)</f>
        <v>#N/A</v>
      </c>
      <c r="Y51" s="49" t="str">
        <f t="shared" si="163"/>
        <v>#N/A</v>
      </c>
      <c r="AL51" s="22" t="str">
        <f t="shared" si="161"/>
        <v>#N/A</v>
      </c>
      <c r="AN51" s="24"/>
      <c r="AV51" s="22">
        <f t="shared" si="44"/>
        <v>361.7</v>
      </c>
      <c r="AX51" s="25"/>
      <c r="BF51" s="27" t="str">
        <f t="shared" si="51"/>
        <v>#N/A</v>
      </c>
      <c r="BH51" s="49" t="s">
        <v>89</v>
      </c>
      <c r="BI51" s="110">
        <v>0.0</v>
      </c>
      <c r="BJ51" s="110">
        <v>0.0</v>
      </c>
      <c r="BK51" s="110">
        <v>200.34118181818178</v>
      </c>
      <c r="BL51" s="110">
        <v>0.0</v>
      </c>
      <c r="BM51" s="110">
        <v>0.0</v>
      </c>
      <c r="BN51" s="110">
        <v>0.0</v>
      </c>
      <c r="BO51" s="110">
        <v>316.3281818181818</v>
      </c>
      <c r="BR51" s="25"/>
      <c r="CF51" s="27"/>
      <c r="CG51" s="27"/>
      <c r="CH51" s="27"/>
      <c r="CI51" s="27"/>
      <c r="CJ51" s="27"/>
      <c r="CK51" s="27"/>
    </row>
    <row r="52" ht="18.0" customHeight="1">
      <c r="A52" s="30" t="str">
        <f>Data2026!A57</f>
        <v>clickelevate</v>
      </c>
      <c r="B52" s="9">
        <f>Data2026!B57</f>
        <v>46142</v>
      </c>
      <c r="C52" s="11" t="str">
        <f>Data2026!C57</f>
        <v>Fixed</v>
      </c>
      <c r="D52" s="12" t="str">
        <f>Data2026!D57</f>
        <v>clickelevate</v>
      </c>
      <c r="E52" s="12" t="str">
        <f>Data2026!E57</f>
        <v>Giorgi_Ts</v>
      </c>
      <c r="F52" s="9">
        <f>Data2026!F57</f>
        <v>46142</v>
      </c>
      <c r="G52" s="70">
        <f>Data2026!G57</f>
        <v>1666.67</v>
      </c>
      <c r="H52" s="30" t="str">
        <f>Data2026!H57</f>
        <v>Finished</v>
      </c>
      <c r="I52" s="30" t="str">
        <f>Data2026!I57</f>
        <v>SEO</v>
      </c>
      <c r="J52" s="9">
        <f>Data2026!J57</f>
        <v>46143</v>
      </c>
      <c r="K52" s="9">
        <f>Data2026!K57</f>
        <v>42521</v>
      </c>
      <c r="L52" s="43">
        <f t="shared" si="2"/>
        <v>0</v>
      </c>
      <c r="M52" s="43">
        <f t="shared" si="3"/>
        <v>0</v>
      </c>
      <c r="N52" s="43">
        <f t="shared" si="4"/>
        <v>0</v>
      </c>
      <c r="O52" s="43">
        <f t="shared" si="5"/>
        <v>0</v>
      </c>
      <c r="P52" s="43">
        <f t="shared" si="6"/>
        <v>1666.67</v>
      </c>
      <c r="Q52" s="43">
        <f t="shared" si="7"/>
        <v>0</v>
      </c>
      <c r="R52" s="49" t="str">
        <f t="shared" ref="R52:U52" si="164">SUMIF(Tableau!$A:$A,$A52,Tableau!E:E)</f>
        <v>#N/A</v>
      </c>
      <c r="S52" s="49" t="str">
        <f t="shared" si="164"/>
        <v>#N/A</v>
      </c>
      <c r="T52" s="49" t="str">
        <f t="shared" si="164"/>
        <v>#N/A</v>
      </c>
      <c r="U52" s="49" t="str">
        <f t="shared" si="164"/>
        <v>#N/A</v>
      </c>
      <c r="W52" s="49" t="str">
        <f t="shared" si="165"/>
        <v>#N/A</v>
      </c>
      <c r="X52" s="49" t="str">
        <f t="shared" ref="X52:Y52" si="166">SUMIF(Tableau!$A:$A,$A52,Tableau!P:P)</f>
        <v>#N/A</v>
      </c>
      <c r="Y52" s="49" t="str">
        <f t="shared" si="166"/>
        <v>#N/A</v>
      </c>
      <c r="AL52" s="22" t="str">
        <f t="shared" si="161"/>
        <v>#N/A</v>
      </c>
      <c r="AN52" s="24"/>
      <c r="AV52" s="22">
        <f t="shared" si="44"/>
        <v>679.93</v>
      </c>
      <c r="AX52" s="25"/>
      <c r="BF52" s="27" t="str">
        <f t="shared" si="51"/>
        <v>#N/A</v>
      </c>
      <c r="BH52" s="49" t="s">
        <v>176</v>
      </c>
      <c r="BI52" s="110">
        <v>0.0</v>
      </c>
      <c r="BJ52" s="110">
        <v>0.0</v>
      </c>
      <c r="BK52" s="110">
        <v>0.0</v>
      </c>
      <c r="BL52" s="110">
        <v>0.0</v>
      </c>
      <c r="BM52" s="110">
        <v>0.0</v>
      </c>
      <c r="BN52" s="110">
        <v>0.0</v>
      </c>
      <c r="BO52" s="110">
        <v>0.0</v>
      </c>
      <c r="BR52" s="25"/>
      <c r="CF52" s="27"/>
      <c r="CG52" s="27"/>
      <c r="CH52" s="27"/>
      <c r="CI52" s="27"/>
      <c r="CJ52" s="27"/>
      <c r="CK52" s="27"/>
    </row>
    <row r="53" ht="18.0" customHeight="1">
      <c r="A53" s="30" t="str">
        <f>Data2026!A58</f>
        <v>occc</v>
      </c>
      <c r="B53" s="9">
        <f>Data2026!B58</f>
        <v>46142</v>
      </c>
      <c r="C53" s="11" t="str">
        <f>Data2026!C58</f>
        <v>Fixed</v>
      </c>
      <c r="D53" s="12" t="str">
        <f>Data2026!D58</f>
        <v>occc</v>
      </c>
      <c r="E53" s="12" t="str">
        <f>Data2026!E58</f>
        <v>Giorgi_Ts</v>
      </c>
      <c r="F53" s="9">
        <f>Data2026!F58</f>
        <v>46142</v>
      </c>
      <c r="G53" s="70">
        <f>Data2026!G58</f>
        <v>1894.46</v>
      </c>
      <c r="H53" s="30" t="str">
        <f>Data2026!H58</f>
        <v>Finished</v>
      </c>
      <c r="I53" s="30" t="str">
        <f>Data2026!I58</f>
        <v>SEO</v>
      </c>
      <c r="J53" s="9">
        <f>Data2026!J58</f>
        <v>46143</v>
      </c>
      <c r="K53" s="9">
        <f>Data2026!K58</f>
        <v>46203</v>
      </c>
      <c r="L53" s="43">
        <f t="shared" si="2"/>
        <v>0</v>
      </c>
      <c r="M53" s="43">
        <f t="shared" si="3"/>
        <v>0</v>
      </c>
      <c r="N53" s="43">
        <f t="shared" si="4"/>
        <v>0</v>
      </c>
      <c r="O53" s="43">
        <f t="shared" si="5"/>
        <v>0</v>
      </c>
      <c r="P53" s="43">
        <f t="shared" si="6"/>
        <v>978.8043333</v>
      </c>
      <c r="Q53" s="43">
        <f t="shared" si="7"/>
        <v>915.6556667</v>
      </c>
      <c r="R53" s="49" t="str">
        <f t="shared" ref="R53:W53" si="167">SUMIF(Tableau!$A:$A,$A53,Tableau!E:E)</f>
        <v>#N/A</v>
      </c>
      <c r="S53" s="49" t="str">
        <f t="shared" si="167"/>
        <v>#N/A</v>
      </c>
      <c r="T53" s="49" t="str">
        <f t="shared" si="167"/>
        <v>#N/A</v>
      </c>
      <c r="U53" s="49" t="str">
        <f t="shared" si="167"/>
        <v>#N/A</v>
      </c>
      <c r="V53" s="49" t="str">
        <f t="shared" si="167"/>
        <v>#N/A</v>
      </c>
      <c r="W53" s="49" t="str">
        <f t="shared" si="167"/>
        <v>#N/A</v>
      </c>
      <c r="X53" s="49" t="str">
        <f t="shared" ref="X53:AC53" si="168">SUMIF(Tableau!$A:$A,$A53,Tableau!P:P)</f>
        <v>#N/A</v>
      </c>
      <c r="Y53" s="49" t="str">
        <f t="shared" si="168"/>
        <v>#N/A</v>
      </c>
      <c r="Z53" s="49" t="str">
        <f t="shared" si="168"/>
        <v>#N/A</v>
      </c>
      <c r="AA53" s="49" t="str">
        <f t="shared" si="168"/>
        <v>#N/A</v>
      </c>
      <c r="AB53" s="49" t="str">
        <f t="shared" si="168"/>
        <v>#N/A</v>
      </c>
      <c r="AC53" s="49" t="str">
        <f t="shared" si="168"/>
        <v>#N/A</v>
      </c>
      <c r="AL53" s="22" t="str">
        <f t="shared" si="161"/>
        <v>#N/A</v>
      </c>
      <c r="AN53" s="24"/>
      <c r="AV53" s="22">
        <f t="shared" si="44"/>
        <v>3479.61</v>
      </c>
      <c r="AX53" s="25"/>
      <c r="BF53" s="27" t="str">
        <f t="shared" si="51"/>
        <v>#N/A</v>
      </c>
      <c r="BH53" s="49" t="s">
        <v>88</v>
      </c>
      <c r="BI53" s="110">
        <v>0.0</v>
      </c>
      <c r="BJ53" s="110">
        <v>0.0</v>
      </c>
      <c r="BK53" s="110">
        <v>190.04151851851853</v>
      </c>
      <c r="BL53" s="110">
        <v>0.0</v>
      </c>
      <c r="BM53" s="110">
        <v>0.0</v>
      </c>
      <c r="BN53" s="110">
        <v>0.0</v>
      </c>
      <c r="BO53" s="110">
        <v>300.0655555555556</v>
      </c>
      <c r="BR53" s="25"/>
      <c r="CF53" s="27"/>
      <c r="CG53" s="27"/>
      <c r="CH53" s="27"/>
      <c r="CI53" s="27"/>
      <c r="CJ53" s="27"/>
      <c r="CK53" s="27"/>
    </row>
    <row r="54" ht="18.0" customHeight="1">
      <c r="A54" s="30" t="str">
        <f>Data2026!A59</f>
        <v>occc</v>
      </c>
      <c r="B54" s="9">
        <f>Data2026!B59</f>
        <v>46142</v>
      </c>
      <c r="C54" s="11" t="str">
        <f>Data2026!C59</f>
        <v>Fixed</v>
      </c>
      <c r="D54" s="12" t="str">
        <f>Data2026!D59</f>
        <v>occc</v>
      </c>
      <c r="E54" s="12" t="str">
        <f>Data2026!E59</f>
        <v>Giorgi_Ts</v>
      </c>
      <c r="F54" s="9">
        <f>Data2026!F59</f>
        <v>46142</v>
      </c>
      <c r="G54" s="70">
        <f>Data2026!G59</f>
        <v>1894.46</v>
      </c>
      <c r="H54" s="30" t="str">
        <f>Data2026!H59</f>
        <v>Finished</v>
      </c>
      <c r="I54" s="30" t="str">
        <f>Data2026!I59</f>
        <v>SEO</v>
      </c>
      <c r="J54" s="9">
        <f>Data2026!J59</f>
        <v>46143</v>
      </c>
      <c r="K54" s="9">
        <f>Data2026!K59</f>
        <v>46203</v>
      </c>
      <c r="L54" s="43">
        <f t="shared" si="2"/>
        <v>0</v>
      </c>
      <c r="M54" s="43">
        <f t="shared" si="3"/>
        <v>0</v>
      </c>
      <c r="N54" s="43">
        <f t="shared" si="4"/>
        <v>0</v>
      </c>
      <c r="O54" s="43">
        <f t="shared" si="5"/>
        <v>0</v>
      </c>
      <c r="P54" s="43">
        <f t="shared" si="6"/>
        <v>978.8043333</v>
      </c>
      <c r="Q54" s="43">
        <f t="shared" si="7"/>
        <v>915.6556667</v>
      </c>
      <c r="R54" s="49" t="str">
        <f t="shared" ref="R54:U54" si="169">SUMIF(Tableau!$A:$A,$A54,Tableau!E:E)</f>
        <v>#N/A</v>
      </c>
      <c r="S54" s="49" t="str">
        <f t="shared" si="169"/>
        <v>#N/A</v>
      </c>
      <c r="T54" s="49" t="str">
        <f t="shared" si="169"/>
        <v>#N/A</v>
      </c>
      <c r="U54" s="49" t="str">
        <f t="shared" si="169"/>
        <v>#N/A</v>
      </c>
      <c r="W54" s="49" t="str">
        <f t="shared" ref="W54:W56" si="173">SUMIF(Tableau!$A:$A,$A54,Tableau!J:J)</f>
        <v>#N/A</v>
      </c>
      <c r="X54" s="49" t="str">
        <f t="shared" ref="X54:Z54" si="170">SUMIF(Tableau!$A:$A,$A54,Tableau!P:P)</f>
        <v>#N/A</v>
      </c>
      <c r="Y54" s="49" t="str">
        <f t="shared" si="170"/>
        <v>#N/A</v>
      </c>
      <c r="Z54" s="49" t="str">
        <f t="shared" si="170"/>
        <v>#N/A</v>
      </c>
      <c r="AB54" s="49" t="str">
        <f t="shared" ref="AB54:AC54" si="171">SUMIF(Tableau!$A:$A,$A54,Tableau!T:T)</f>
        <v>#N/A</v>
      </c>
      <c r="AC54" s="49" t="str">
        <f t="shared" si="171"/>
        <v>#N/A</v>
      </c>
      <c r="AE54" s="22"/>
      <c r="AF54" s="22"/>
      <c r="AG54" s="22"/>
      <c r="AH54" s="22"/>
      <c r="AI54" s="22"/>
      <c r="AJ54" s="22"/>
      <c r="AK54" s="22"/>
      <c r="AL54" s="104">
        <f t="shared" si="161"/>
        <v>0</v>
      </c>
      <c r="AN54" s="24"/>
      <c r="AV54" s="22">
        <f t="shared" si="44"/>
        <v>3600</v>
      </c>
      <c r="AX54" s="25"/>
      <c r="BF54" s="27" t="str">
        <f t="shared" si="51"/>
        <v>#N/A</v>
      </c>
      <c r="BH54" s="49" t="s">
        <v>362</v>
      </c>
      <c r="BI54" s="110">
        <v>0.0</v>
      </c>
      <c r="BJ54" s="110">
        <v>0.0</v>
      </c>
      <c r="BK54" s="110">
        <v>0.0</v>
      </c>
      <c r="BL54" s="110">
        <v>0.0</v>
      </c>
      <c r="BM54" s="110">
        <v>35.36256756756756</v>
      </c>
      <c r="BN54" s="110">
        <v>0.0</v>
      </c>
      <c r="BO54" s="110">
        <v>156.60565637065636</v>
      </c>
      <c r="BR54" s="25"/>
      <c r="CF54" s="27"/>
      <c r="CG54" s="27"/>
      <c r="CH54" s="27"/>
      <c r="CI54" s="27"/>
      <c r="CJ54" s="27"/>
      <c r="CK54" s="27"/>
    </row>
    <row r="55" ht="18.0" customHeight="1">
      <c r="A55" s="30" t="str">
        <f>Data2026!A60</f>
        <v>occc</v>
      </c>
      <c r="B55" s="9">
        <f>Data2026!B60</f>
        <v>46142</v>
      </c>
      <c r="C55" s="11" t="str">
        <f>Data2026!C60</f>
        <v>Fixed</v>
      </c>
      <c r="D55" s="12" t="str">
        <f>Data2026!D60</f>
        <v>occc</v>
      </c>
      <c r="E55" s="12" t="str">
        <f>Data2026!E60</f>
        <v>Giorgi_Ts</v>
      </c>
      <c r="F55" s="9">
        <f>Data2026!F60</f>
        <v>46142</v>
      </c>
      <c r="G55" s="70">
        <f>Data2026!G60</f>
        <v>1894.46</v>
      </c>
      <c r="H55" s="30" t="str">
        <f>Data2026!H60</f>
        <v>Finished</v>
      </c>
      <c r="I55" s="30" t="str">
        <f>Data2026!I60</f>
        <v>SEO</v>
      </c>
      <c r="J55" s="9">
        <f>Data2026!J60</f>
        <v>46143</v>
      </c>
      <c r="K55" s="9">
        <f>Data2026!K60</f>
        <v>46203</v>
      </c>
      <c r="L55" s="43">
        <f t="shared" si="2"/>
        <v>0</v>
      </c>
      <c r="M55" s="43">
        <f t="shared" si="3"/>
        <v>0</v>
      </c>
      <c r="N55" s="43">
        <f t="shared" si="4"/>
        <v>0</v>
      </c>
      <c r="O55" s="43">
        <f t="shared" si="5"/>
        <v>0</v>
      </c>
      <c r="P55" s="43">
        <f t="shared" si="6"/>
        <v>978.8043333</v>
      </c>
      <c r="Q55" s="43">
        <f t="shared" si="7"/>
        <v>915.6556667</v>
      </c>
      <c r="R55" s="49" t="str">
        <f t="shared" ref="R55:U55" si="172">SUMIF(Tableau!$A:$A,$A55,Tableau!E:E)</f>
        <v>#N/A</v>
      </c>
      <c r="S55" s="49" t="str">
        <f t="shared" si="172"/>
        <v>#N/A</v>
      </c>
      <c r="T55" s="49" t="str">
        <f t="shared" si="172"/>
        <v>#N/A</v>
      </c>
      <c r="U55" s="49" t="str">
        <f t="shared" si="172"/>
        <v>#N/A</v>
      </c>
      <c r="W55" s="49" t="str">
        <f t="shared" si="173"/>
        <v>#N/A</v>
      </c>
      <c r="X55" s="49" t="str">
        <f t="shared" ref="X55:Z55" si="174">SUMIF(Tableau!$A:$A,$A55,Tableau!P:P)</f>
        <v>#N/A</v>
      </c>
      <c r="Y55" s="49" t="str">
        <f t="shared" si="174"/>
        <v>#N/A</v>
      </c>
      <c r="Z55" s="49" t="str">
        <f t="shared" si="174"/>
        <v>#N/A</v>
      </c>
      <c r="AB55" s="49" t="str">
        <f t="shared" ref="AB55:AC55" si="175">SUMIF(Tableau!$A:$A,$A55,Tableau!T:T)</f>
        <v>#N/A</v>
      </c>
      <c r="AC55" s="49" t="str">
        <f t="shared" si="175"/>
        <v>#N/A</v>
      </c>
      <c r="AL55" s="22">
        <f t="shared" si="161"/>
        <v>0</v>
      </c>
      <c r="AN55" s="24"/>
      <c r="AV55" s="22">
        <f t="shared" si="44"/>
        <v>2700.59</v>
      </c>
      <c r="AX55" s="25"/>
      <c r="BF55" s="27" t="str">
        <f t="shared" si="51"/>
        <v>#N/A</v>
      </c>
      <c r="BH55" s="49" t="s">
        <v>131</v>
      </c>
      <c r="BI55" s="110">
        <v>0.0</v>
      </c>
      <c r="BJ55" s="110">
        <v>0.0</v>
      </c>
      <c r="BK55" s="110">
        <v>0.0</v>
      </c>
      <c r="BL55" s="110">
        <v>0.0</v>
      </c>
      <c r="BM55" s="110">
        <v>97.5609756097561</v>
      </c>
      <c r="BN55" s="110">
        <v>0.0</v>
      </c>
      <c r="BO55" s="110">
        <v>97.5609756097561</v>
      </c>
      <c r="BR55" s="25"/>
      <c r="CF55" s="27"/>
      <c r="CG55" s="27"/>
      <c r="CH55" s="27"/>
      <c r="CI55" s="27"/>
      <c r="CJ55" s="27"/>
      <c r="CK55" s="27"/>
    </row>
    <row r="56" ht="18.0" customHeight="1">
      <c r="A56" s="30" t="str">
        <f>Data2026!A61</f>
        <v>occc</v>
      </c>
      <c r="B56" s="9">
        <f>Data2026!B61</f>
        <v>46142</v>
      </c>
      <c r="C56" s="11" t="str">
        <f>Data2026!C61</f>
        <v>Fixed</v>
      </c>
      <c r="D56" s="12" t="str">
        <f>Data2026!D61</f>
        <v>occc</v>
      </c>
      <c r="E56" s="12" t="str">
        <f>Data2026!E61</f>
        <v>Giorgi_Ts</v>
      </c>
      <c r="F56" s="9">
        <f>Data2026!F61</f>
        <v>46142</v>
      </c>
      <c r="G56" s="70">
        <f>Data2026!G61</f>
        <v>1894.46</v>
      </c>
      <c r="H56" s="30" t="str">
        <f>Data2026!H61</f>
        <v>Finished</v>
      </c>
      <c r="I56" s="30" t="str">
        <f>Data2026!I61</f>
        <v>SEO</v>
      </c>
      <c r="J56" s="9">
        <f>Data2026!J61</f>
        <v>46143</v>
      </c>
      <c r="K56" s="9">
        <f>Data2026!K61</f>
        <v>46203</v>
      </c>
      <c r="L56" s="43">
        <f t="shared" si="2"/>
        <v>0</v>
      </c>
      <c r="M56" s="43">
        <f t="shared" si="3"/>
        <v>0</v>
      </c>
      <c r="N56" s="43">
        <f t="shared" si="4"/>
        <v>0</v>
      </c>
      <c r="O56" s="43">
        <f t="shared" si="5"/>
        <v>0</v>
      </c>
      <c r="P56" s="43">
        <f t="shared" si="6"/>
        <v>978.8043333</v>
      </c>
      <c r="Q56" s="43">
        <f t="shared" si="7"/>
        <v>915.6556667</v>
      </c>
      <c r="R56" s="49" t="str">
        <f t="shared" ref="R56:U56" si="176">SUMIF(Tableau!$A:$A,$A56,Tableau!E:E)</f>
        <v>#N/A</v>
      </c>
      <c r="S56" s="49" t="str">
        <f t="shared" si="176"/>
        <v>#N/A</v>
      </c>
      <c r="T56" s="49" t="str">
        <f t="shared" si="176"/>
        <v>#N/A</v>
      </c>
      <c r="U56" s="49" t="str">
        <f t="shared" si="176"/>
        <v>#N/A</v>
      </c>
      <c r="W56" s="49" t="str">
        <f t="shared" si="173"/>
        <v>#N/A</v>
      </c>
      <c r="X56" s="49" t="str">
        <f t="shared" ref="X56:Z56" si="177">SUMIF(Tableau!$A:$A,$A56,Tableau!P:P)</f>
        <v>#N/A</v>
      </c>
      <c r="Y56" s="49" t="str">
        <f t="shared" si="177"/>
        <v>#N/A</v>
      </c>
      <c r="Z56" s="49" t="str">
        <f t="shared" si="177"/>
        <v>#N/A</v>
      </c>
      <c r="AB56" s="49" t="str">
        <f t="shared" ref="AB56:AC56" si="178">SUMIF(Tableau!$A:$A,$A56,Tableau!T:T)</f>
        <v>#N/A</v>
      </c>
      <c r="AC56" s="49" t="str">
        <f t="shared" si="178"/>
        <v>#N/A</v>
      </c>
      <c r="AE56" s="22" t="s">
        <v>363</v>
      </c>
      <c r="AF56" s="56" t="s">
        <v>264</v>
      </c>
      <c r="AG56" s="56" t="s">
        <v>265</v>
      </c>
      <c r="AH56" s="56" t="s">
        <v>266</v>
      </c>
      <c r="AI56" s="56" t="s">
        <v>360</v>
      </c>
      <c r="AJ56" s="56" t="s">
        <v>268</v>
      </c>
      <c r="AK56" s="56" t="s">
        <v>269</v>
      </c>
      <c r="AL56" s="56" t="s">
        <v>27</v>
      </c>
      <c r="AN56" s="24"/>
      <c r="AV56" s="22">
        <f t="shared" si="44"/>
        <v>372.34</v>
      </c>
      <c r="AX56" s="25"/>
      <c r="BF56" s="27" t="str">
        <f t="shared" si="51"/>
        <v>#N/A</v>
      </c>
      <c r="BH56" s="49" t="s">
        <v>101</v>
      </c>
      <c r="BI56" s="110">
        <v>0.0</v>
      </c>
      <c r="BJ56" s="110">
        <v>0.0</v>
      </c>
      <c r="BK56" s="110">
        <v>0.0</v>
      </c>
      <c r="BL56" s="110">
        <v>52.78181818181818</v>
      </c>
      <c r="BM56" s="110">
        <v>0.0</v>
      </c>
      <c r="BN56" s="110">
        <v>0.0</v>
      </c>
      <c r="BO56" s="110">
        <v>52.78181818181818</v>
      </c>
      <c r="BR56" s="25"/>
      <c r="CF56" s="27"/>
      <c r="CG56" s="27"/>
      <c r="CH56" s="27"/>
      <c r="CI56" s="27"/>
      <c r="CJ56" s="27"/>
      <c r="CK56" s="27"/>
    </row>
    <row r="57" ht="18.0" customHeight="1">
      <c r="A57" s="30" t="str">
        <f>Data2026!A62</f>
        <v>clickid</v>
      </c>
      <c r="B57" s="9">
        <f>Data2026!B62</f>
        <v>46142</v>
      </c>
      <c r="C57" s="11" t="str">
        <f>Data2026!C62</f>
        <v>Fixed</v>
      </c>
      <c r="D57" s="12" t="str">
        <f>Data2026!D62</f>
        <v>clickid</v>
      </c>
      <c r="E57" s="12" t="str">
        <f>Data2026!E62</f>
        <v>Elene_Gh</v>
      </c>
      <c r="F57" s="9">
        <f>Data2026!F62</f>
        <v>46142</v>
      </c>
      <c r="G57" s="70">
        <f>Data2026!G62</f>
        <v>885</v>
      </c>
      <c r="H57" s="30" t="str">
        <f>Data2026!H62</f>
        <v>Finished</v>
      </c>
      <c r="I57" s="30" t="str">
        <f>Data2026!I62</f>
        <v>Meta</v>
      </c>
      <c r="J57" s="9">
        <f>Data2026!J62</f>
        <v>46107</v>
      </c>
      <c r="K57" s="9">
        <f>Data2026!K62</f>
        <v>46138</v>
      </c>
      <c r="L57" s="43">
        <f t="shared" si="2"/>
        <v>0</v>
      </c>
      <c r="M57" s="43">
        <f t="shared" si="3"/>
        <v>0</v>
      </c>
      <c r="N57" s="43">
        <f t="shared" si="4"/>
        <v>171.2903226</v>
      </c>
      <c r="O57" s="43">
        <f t="shared" si="5"/>
        <v>713.7096774</v>
      </c>
      <c r="P57" s="43">
        <f t="shared" si="6"/>
        <v>0</v>
      </c>
      <c r="Q57" s="43">
        <f t="shared" si="7"/>
        <v>0</v>
      </c>
      <c r="R57" s="49" t="str">
        <f t="shared" ref="R57:W57" si="179">SUMIF(Tableau!$A:$A,$A57,Tableau!E:E)</f>
        <v>#N/A</v>
      </c>
      <c r="S57" s="49" t="str">
        <f t="shared" si="179"/>
        <v>#N/A</v>
      </c>
      <c r="T57" s="49" t="str">
        <f t="shared" si="179"/>
        <v>#N/A</v>
      </c>
      <c r="U57" s="49" t="str">
        <f t="shared" si="179"/>
        <v>#N/A</v>
      </c>
      <c r="V57" s="49" t="str">
        <f t="shared" si="179"/>
        <v>#N/A</v>
      </c>
      <c r="W57" s="49" t="str">
        <f t="shared" si="179"/>
        <v>#N/A</v>
      </c>
      <c r="X57" s="49" t="str">
        <f t="shared" ref="X57:AC57" si="180">SUMIF(Tableau!$A:$A,$A57,Tableau!P:P)</f>
        <v>#N/A</v>
      </c>
      <c r="Y57" s="49" t="str">
        <f t="shared" si="180"/>
        <v>#N/A</v>
      </c>
      <c r="Z57" s="49" t="str">
        <f t="shared" si="180"/>
        <v>#N/A</v>
      </c>
      <c r="AA57" s="49" t="str">
        <f t="shared" si="180"/>
        <v>#N/A</v>
      </c>
      <c r="AB57" s="49" t="str">
        <f t="shared" si="180"/>
        <v>#N/A</v>
      </c>
      <c r="AC57" s="49" t="str">
        <f t="shared" si="180"/>
        <v>#N/A</v>
      </c>
      <c r="AE57" s="22" t="s">
        <v>59</v>
      </c>
      <c r="AF57" s="22">
        <f t="shared" ref="AF57:AL57" si="181">IFERROR(AF40/AF49,0)</f>
        <v>0</v>
      </c>
      <c r="AG57" s="22">
        <f t="shared" si="181"/>
        <v>0</v>
      </c>
      <c r="AH57" s="22">
        <f t="shared" si="181"/>
        <v>0</v>
      </c>
      <c r="AI57" s="22">
        <f t="shared" si="181"/>
        <v>0</v>
      </c>
      <c r="AJ57" s="22">
        <f t="shared" si="181"/>
        <v>0</v>
      </c>
      <c r="AK57" s="22">
        <f t="shared" si="181"/>
        <v>0</v>
      </c>
      <c r="AL57" s="22">
        <f t="shared" si="181"/>
        <v>0</v>
      </c>
      <c r="AN57" s="24"/>
      <c r="AV57" s="22">
        <f t="shared" si="44"/>
        <v>4000</v>
      </c>
      <c r="AX57" s="25"/>
      <c r="BF57" s="27" t="str">
        <f t="shared" si="51"/>
        <v>#N/A</v>
      </c>
      <c r="BH57" s="49" t="s">
        <v>105</v>
      </c>
      <c r="BI57" s="110">
        <v>0.0</v>
      </c>
      <c r="BJ57" s="110">
        <v>0.0</v>
      </c>
      <c r="BK57" s="110">
        <v>0.0</v>
      </c>
      <c r="BL57" s="110">
        <v>38.21</v>
      </c>
      <c r="BM57" s="110">
        <v>0.0</v>
      </c>
      <c r="BN57" s="110">
        <v>0.0</v>
      </c>
      <c r="BO57" s="110">
        <v>38.21</v>
      </c>
      <c r="BR57" s="25"/>
      <c r="CF57" s="27"/>
      <c r="CG57" s="27"/>
      <c r="CH57" s="27"/>
      <c r="CI57" s="27"/>
      <c r="CJ57" s="27"/>
      <c r="CK57" s="27"/>
    </row>
    <row r="58" ht="18.0" customHeight="1">
      <c r="A58" s="30" t="str">
        <f>Data2026!A63</f>
        <v>clickid</v>
      </c>
      <c r="B58" s="9">
        <f>Data2026!B63</f>
        <v>46142</v>
      </c>
      <c r="C58" s="11" t="str">
        <f>Data2026!C63</f>
        <v>Fixed</v>
      </c>
      <c r="D58" s="12" t="str">
        <f>Data2026!D63</f>
        <v>clickid</v>
      </c>
      <c r="E58" s="12" t="str">
        <f>Data2026!E63</f>
        <v>Elene_Gh</v>
      </c>
      <c r="F58" s="9">
        <f>Data2026!F63</f>
        <v>46142</v>
      </c>
      <c r="G58" s="70">
        <f>Data2026!G63</f>
        <v>885</v>
      </c>
      <c r="H58" s="30" t="str">
        <f>Data2026!H63</f>
        <v>Finished</v>
      </c>
      <c r="I58" s="30" t="str">
        <f>Data2026!I63</f>
        <v>Meta</v>
      </c>
      <c r="J58" s="9">
        <f>Data2026!J63</f>
        <v>46107</v>
      </c>
      <c r="K58" s="9">
        <f>Data2026!K63</f>
        <v>46138</v>
      </c>
      <c r="L58" s="43">
        <f t="shared" si="2"/>
        <v>0</v>
      </c>
      <c r="M58" s="43">
        <f t="shared" si="3"/>
        <v>0</v>
      </c>
      <c r="N58" s="43">
        <f t="shared" si="4"/>
        <v>171.2903226</v>
      </c>
      <c r="O58" s="43">
        <f t="shared" si="5"/>
        <v>713.7096774</v>
      </c>
      <c r="P58" s="43">
        <f t="shared" si="6"/>
        <v>0</v>
      </c>
      <c r="Q58" s="43">
        <f t="shared" si="7"/>
        <v>0</v>
      </c>
      <c r="R58" s="49" t="str">
        <f t="shared" ref="R58:W58" si="182">SUMIF(Tableau!$A:$A,$A58,Tableau!E:E)</f>
        <v>#N/A</v>
      </c>
      <c r="S58" s="49" t="str">
        <f t="shared" si="182"/>
        <v>#N/A</v>
      </c>
      <c r="T58" s="49" t="str">
        <f t="shared" si="182"/>
        <v>#N/A</v>
      </c>
      <c r="U58" s="49" t="str">
        <f t="shared" si="182"/>
        <v>#N/A</v>
      </c>
      <c r="V58" s="49" t="str">
        <f t="shared" si="182"/>
        <v>#N/A</v>
      </c>
      <c r="W58" s="49" t="str">
        <f t="shared" si="182"/>
        <v>#N/A</v>
      </c>
      <c r="AE58" s="22" t="s">
        <v>56</v>
      </c>
      <c r="AF58" s="22">
        <f t="shared" ref="AF58:AL58" si="183">IFERROR(AF41/AF50,0)</f>
        <v>0</v>
      </c>
      <c r="AG58" s="22">
        <f t="shared" si="183"/>
        <v>0</v>
      </c>
      <c r="AH58" s="22">
        <f t="shared" si="183"/>
        <v>0</v>
      </c>
      <c r="AI58" s="22">
        <f t="shared" si="183"/>
        <v>0</v>
      </c>
      <c r="AJ58" s="22">
        <f t="shared" si="183"/>
        <v>0</v>
      </c>
      <c r="AK58" s="22">
        <f t="shared" si="183"/>
        <v>0</v>
      </c>
      <c r="AL58" s="22">
        <f t="shared" si="183"/>
        <v>0</v>
      </c>
      <c r="AN58" s="24"/>
      <c r="AV58" s="56">
        <f t="shared" si="44"/>
        <v>7687.5</v>
      </c>
      <c r="AX58" s="25"/>
      <c r="BF58" s="27" t="str">
        <f t="shared" si="51"/>
        <v>#N/A</v>
      </c>
      <c r="BH58" s="49" t="s">
        <v>109</v>
      </c>
      <c r="BI58" s="110">
        <v>0.0</v>
      </c>
      <c r="BJ58" s="110">
        <v>0.0</v>
      </c>
      <c r="BK58" s="110">
        <v>0.0</v>
      </c>
      <c r="BL58" s="110">
        <v>226.86333333333334</v>
      </c>
      <c r="BM58" s="110">
        <v>0.0</v>
      </c>
      <c r="BN58" s="110">
        <v>0.0</v>
      </c>
      <c r="BO58" s="110">
        <v>226.86333333333334</v>
      </c>
      <c r="BR58" s="25"/>
      <c r="CF58" s="27"/>
      <c r="CG58" s="27"/>
      <c r="CH58" s="27"/>
      <c r="CI58" s="27"/>
      <c r="CJ58" s="27"/>
      <c r="CK58" s="27"/>
    </row>
    <row r="59" ht="18.0" customHeight="1">
      <c r="A59" s="30" t="str">
        <f>Data2026!A64</f>
        <v>maryturbotraffic</v>
      </c>
      <c r="B59" s="9">
        <f>Data2026!B64</f>
        <v>46142</v>
      </c>
      <c r="C59" s="11" t="str">
        <f>Data2026!C64</f>
        <v>CPA</v>
      </c>
      <c r="D59" s="12" t="str">
        <f>Data2026!D64</f>
        <v>maryturbotraffic</v>
      </c>
      <c r="E59" s="12" t="str">
        <f>Data2026!E64</f>
        <v>Nini_B</v>
      </c>
      <c r="F59" s="9">
        <f>Data2026!F64</f>
        <v>46142</v>
      </c>
      <c r="G59" s="70">
        <f>Data2026!G64</f>
        <v>1500</v>
      </c>
      <c r="H59" s="30" t="str">
        <f>Data2026!H64</f>
        <v>Finished</v>
      </c>
      <c r="I59" s="30" t="str">
        <f>Data2026!I64</f>
        <v>Meta</v>
      </c>
      <c r="J59" s="9">
        <f>Data2026!J64</f>
        <v>46121</v>
      </c>
      <c r="K59" s="9">
        <f>Data2026!K64</f>
        <v>46156</v>
      </c>
      <c r="L59" s="43">
        <f t="shared" si="2"/>
        <v>0</v>
      </c>
      <c r="M59" s="43">
        <f t="shared" si="3"/>
        <v>0</v>
      </c>
      <c r="N59" s="43">
        <f t="shared" si="4"/>
        <v>0</v>
      </c>
      <c r="O59" s="43">
        <f t="shared" si="5"/>
        <v>942.8571429</v>
      </c>
      <c r="P59" s="43">
        <f t="shared" si="6"/>
        <v>557.1428571</v>
      </c>
      <c r="Q59" s="43">
        <f t="shared" si="7"/>
        <v>0</v>
      </c>
      <c r="R59" s="49" t="str">
        <f t="shared" ref="R59:W59" si="184">SUMIF(Tableau!$A:$A,$A59,Tableau!E:E)</f>
        <v>#N/A</v>
      </c>
      <c r="S59" s="49" t="str">
        <f t="shared" si="184"/>
        <v>#N/A</v>
      </c>
      <c r="T59" s="49" t="str">
        <f t="shared" si="184"/>
        <v>#N/A</v>
      </c>
      <c r="U59" s="49" t="str">
        <f t="shared" si="184"/>
        <v>#N/A</v>
      </c>
      <c r="V59" s="49" t="str">
        <f t="shared" si="184"/>
        <v>#N/A</v>
      </c>
      <c r="W59" s="49" t="str">
        <f t="shared" si="184"/>
        <v>#N/A</v>
      </c>
      <c r="X59" s="49" t="str">
        <f t="shared" ref="X59:AC59" si="185">SUMIF(Tableau!$A:$A,$A59,Tableau!P:P)</f>
        <v>#N/A</v>
      </c>
      <c r="Y59" s="49" t="str">
        <f t="shared" si="185"/>
        <v>#N/A</v>
      </c>
      <c r="Z59" s="49" t="str">
        <f t="shared" si="185"/>
        <v>#N/A</v>
      </c>
      <c r="AA59" s="49" t="str">
        <f t="shared" si="185"/>
        <v>#N/A</v>
      </c>
      <c r="AB59" s="49" t="str">
        <f t="shared" si="185"/>
        <v>#N/A</v>
      </c>
      <c r="AC59" s="49" t="str">
        <f t="shared" si="185"/>
        <v>#N/A</v>
      </c>
      <c r="AE59" s="22" t="s">
        <v>19</v>
      </c>
      <c r="AF59" s="22">
        <f t="shared" ref="AF59:AL59" si="186">IFERROR(AF42/AF51,0)</f>
        <v>0</v>
      </c>
      <c r="AG59" s="22">
        <f t="shared" si="186"/>
        <v>0</v>
      </c>
      <c r="AH59" s="22">
        <f t="shared" si="186"/>
        <v>0</v>
      </c>
      <c r="AI59" s="22">
        <f t="shared" si="186"/>
        <v>0</v>
      </c>
      <c r="AJ59" s="22">
        <f t="shared" si="186"/>
        <v>0</v>
      </c>
      <c r="AK59" s="22">
        <f t="shared" si="186"/>
        <v>0</v>
      </c>
      <c r="AL59" s="22">
        <f t="shared" si="186"/>
        <v>0</v>
      </c>
      <c r="AN59" s="24"/>
      <c r="AX59" s="25"/>
      <c r="BF59" s="27" t="str">
        <f t="shared" si="51"/>
        <v>#N/A</v>
      </c>
      <c r="BH59" s="49" t="s">
        <v>87</v>
      </c>
      <c r="BI59" s="110">
        <v>0.0</v>
      </c>
      <c r="BJ59" s="110">
        <v>0.0</v>
      </c>
      <c r="BK59" s="110">
        <v>639.5632222222222</v>
      </c>
      <c r="BL59" s="110">
        <v>0.0</v>
      </c>
      <c r="BM59" s="110">
        <v>0.0</v>
      </c>
      <c r="BN59" s="110">
        <v>0.0</v>
      </c>
      <c r="BO59" s="110">
        <v>1009.8366666666667</v>
      </c>
      <c r="BR59" s="25"/>
      <c r="CF59" s="27"/>
      <c r="CG59" s="27"/>
      <c r="CH59" s="27"/>
      <c r="CI59" s="27"/>
      <c r="CJ59" s="27"/>
      <c r="CK59" s="27"/>
    </row>
    <row r="60" ht="18.0" customHeight="1">
      <c r="A60" s="30" t="str">
        <f>Data2026!A65</f>
        <v>SharkLink</v>
      </c>
      <c r="B60" s="9">
        <f>Data2026!B65</f>
        <v>46142</v>
      </c>
      <c r="C60" s="11" t="str">
        <f>Data2026!C65</f>
        <v>CPA</v>
      </c>
      <c r="D60" s="12" t="str">
        <f>Data2026!D65</f>
        <v>SharkLink</v>
      </c>
      <c r="E60" s="12" t="str">
        <f>Data2026!E65</f>
        <v>Nini_B</v>
      </c>
      <c r="F60" s="9">
        <f>Data2026!F65</f>
        <v>46142</v>
      </c>
      <c r="G60" s="70">
        <f>Data2026!G65</f>
        <v>950</v>
      </c>
      <c r="H60" s="30" t="str">
        <f>Data2026!H65</f>
        <v>Finished</v>
      </c>
      <c r="I60" s="30" t="str">
        <f>Data2026!I65</f>
        <v>Meta</v>
      </c>
      <c r="J60" s="9">
        <f>Data2026!J65</f>
        <v>46097</v>
      </c>
      <c r="K60" s="9">
        <f>Data2026!K65</f>
        <v>46129</v>
      </c>
      <c r="L60" s="43">
        <f t="shared" si="2"/>
        <v>0</v>
      </c>
      <c r="M60" s="43">
        <f t="shared" si="3"/>
        <v>0</v>
      </c>
      <c r="N60" s="43">
        <f t="shared" si="4"/>
        <v>475</v>
      </c>
      <c r="O60" s="43">
        <f t="shared" si="5"/>
        <v>475</v>
      </c>
      <c r="P60" s="43">
        <f t="shared" si="6"/>
        <v>0</v>
      </c>
      <c r="Q60" s="43">
        <f t="shared" si="7"/>
        <v>0</v>
      </c>
      <c r="R60" s="49" t="str">
        <f t="shared" ref="R60:S60" si="187">SUMIF(Tableau!$A:$A,$A60,Tableau!E:E)</f>
        <v>#N/A</v>
      </c>
      <c r="S60" s="49" t="str">
        <f t="shared" si="187"/>
        <v>#N/A</v>
      </c>
      <c r="U60" s="49" t="str">
        <f t="shared" ref="U60:W60" si="188">SUMIF(Tableau!$A:$A,$A60,Tableau!H:H)</f>
        <v>#N/A</v>
      </c>
      <c r="V60" s="49" t="str">
        <f t="shared" si="188"/>
        <v>#N/A</v>
      </c>
      <c r="W60" s="49" t="str">
        <f t="shared" si="188"/>
        <v>#N/A</v>
      </c>
      <c r="X60" s="49" t="str">
        <f t="shared" ref="X60:AC60" si="189">SUMIF(Tableau!$A:$A,$A60,Tableau!P:P)</f>
        <v>#N/A</v>
      </c>
      <c r="Y60" s="49" t="str">
        <f t="shared" si="189"/>
        <v>#N/A</v>
      </c>
      <c r="Z60" s="49" t="str">
        <f t="shared" si="189"/>
        <v>#N/A</v>
      </c>
      <c r="AA60" s="49" t="str">
        <f t="shared" si="189"/>
        <v>#N/A</v>
      </c>
      <c r="AB60" s="49" t="str">
        <f t="shared" si="189"/>
        <v>#N/A</v>
      </c>
      <c r="AC60" s="49" t="str">
        <f t="shared" si="189"/>
        <v>#N/A</v>
      </c>
      <c r="AE60" s="22" t="s">
        <v>68</v>
      </c>
      <c r="AF60" s="22">
        <f t="shared" ref="AF60:AL60" si="190">IFERROR(AF43/AF52,0)</f>
        <v>0</v>
      </c>
      <c r="AG60" s="22">
        <f t="shared" si="190"/>
        <v>0</v>
      </c>
      <c r="AH60" s="22">
        <f t="shared" si="190"/>
        <v>0</v>
      </c>
      <c r="AI60" s="22">
        <f t="shared" si="190"/>
        <v>0</v>
      </c>
      <c r="AJ60" s="22">
        <f t="shared" si="190"/>
        <v>0</v>
      </c>
      <c r="AK60" s="22">
        <f t="shared" si="190"/>
        <v>0</v>
      </c>
      <c r="AL60" s="22">
        <f t="shared" si="190"/>
        <v>0</v>
      </c>
      <c r="AN60" s="24"/>
      <c r="AX60" s="25"/>
      <c r="BF60" s="56" t="str">
        <f t="shared" si="51"/>
        <v>#N/A</v>
      </c>
      <c r="BH60" s="49" t="s">
        <v>335</v>
      </c>
      <c r="BI60" s="110">
        <v>0.0</v>
      </c>
      <c r="BJ60" s="110">
        <v>0.0</v>
      </c>
      <c r="BK60" s="110">
        <v>144.52838532110093</v>
      </c>
      <c r="BL60" s="110">
        <v>103.31681457749298</v>
      </c>
      <c r="BM60" s="110">
        <v>88.51825776708074</v>
      </c>
      <c r="BN60" s="110">
        <v>58.11714474881196</v>
      </c>
      <c r="BO60" s="110">
        <v>89.537632861105</v>
      </c>
      <c r="BR60" s="25"/>
      <c r="CF60" s="27"/>
      <c r="CG60" s="27"/>
      <c r="CH60" s="27"/>
      <c r="CI60" s="27"/>
      <c r="CJ60" s="27"/>
      <c r="CK60" s="27"/>
    </row>
    <row r="61" ht="18.0" customHeight="1">
      <c r="A61" s="30" t="str">
        <f>Data2026!A66</f>
        <v>SharkLink</v>
      </c>
      <c r="B61" s="9">
        <f>Data2026!B66</f>
        <v>46142</v>
      </c>
      <c r="C61" s="11" t="str">
        <f>Data2026!C66</f>
        <v>CPA</v>
      </c>
      <c r="D61" s="12" t="str">
        <f>Data2026!D66</f>
        <v>SharkLink</v>
      </c>
      <c r="E61" s="12" t="str">
        <f>Data2026!E66</f>
        <v>Nini_B</v>
      </c>
      <c r="F61" s="9">
        <f>Data2026!F66</f>
        <v>46142</v>
      </c>
      <c r="G61" s="70">
        <f>Data2026!G66</f>
        <v>950</v>
      </c>
      <c r="H61" s="30" t="str">
        <f>Data2026!H66</f>
        <v>Finished</v>
      </c>
      <c r="I61" s="30" t="str">
        <f>Data2026!I66</f>
        <v>Meta</v>
      </c>
      <c r="J61" s="9">
        <f>Data2026!J66</f>
        <v>46097</v>
      </c>
      <c r="K61" s="9">
        <f>Data2026!K66</f>
        <v>46129</v>
      </c>
      <c r="L61" s="43">
        <f t="shared" si="2"/>
        <v>0</v>
      </c>
      <c r="M61" s="43">
        <f t="shared" si="3"/>
        <v>0</v>
      </c>
      <c r="N61" s="43">
        <f t="shared" si="4"/>
        <v>475</v>
      </c>
      <c r="O61" s="43">
        <f t="shared" si="5"/>
        <v>475</v>
      </c>
      <c r="P61" s="43">
        <f t="shared" si="6"/>
        <v>0</v>
      </c>
      <c r="Q61" s="43">
        <f t="shared" si="7"/>
        <v>0</v>
      </c>
      <c r="R61" s="49" t="str">
        <f t="shared" ref="R61:S61" si="191">SUMIF(Tableau!$A:$A,$A61,Tableau!E:E)</f>
        <v>#N/A</v>
      </c>
      <c r="S61" s="49" t="str">
        <f t="shared" si="191"/>
        <v>#N/A</v>
      </c>
      <c r="W61" s="49" t="str">
        <f t="shared" ref="W61:W62" si="195">SUMIF(Tableau!$A:$A,$A61,Tableau!J:J)</f>
        <v>#N/A</v>
      </c>
      <c r="X61" s="49" t="str">
        <f t="shared" ref="X61:Y61" si="192">SUMIF(Tableau!$A:$A,$A61,Tableau!P:P)</f>
        <v>#N/A</v>
      </c>
      <c r="Y61" s="49" t="str">
        <f t="shared" si="192"/>
        <v>#N/A</v>
      </c>
      <c r="AE61" s="22" t="s">
        <v>364</v>
      </c>
      <c r="AF61" s="22">
        <f t="shared" ref="AF61:AL61" si="193">IFERROR(AF44/AF53,0)</f>
        <v>0</v>
      </c>
      <c r="AG61" s="22">
        <f t="shared" si="193"/>
        <v>0</v>
      </c>
      <c r="AH61" s="22">
        <f t="shared" si="193"/>
        <v>0</v>
      </c>
      <c r="AI61" s="22">
        <f t="shared" si="193"/>
        <v>0</v>
      </c>
      <c r="AJ61" s="22">
        <f t="shared" si="193"/>
        <v>0</v>
      </c>
      <c r="AK61" s="22">
        <f t="shared" si="193"/>
        <v>0</v>
      </c>
      <c r="AL61" s="22">
        <f t="shared" si="193"/>
        <v>0</v>
      </c>
      <c r="AN61" s="24"/>
      <c r="AX61" s="25"/>
      <c r="BR61" s="25"/>
      <c r="CF61" s="27"/>
      <c r="CG61" s="27"/>
      <c r="CH61" s="27"/>
      <c r="CI61" s="27"/>
      <c r="CJ61" s="27"/>
      <c r="CK61" s="27"/>
    </row>
    <row r="62" ht="18.0" customHeight="1">
      <c r="A62" s="30" t="str">
        <f>Data2026!A67</f>
        <v>SharkLink</v>
      </c>
      <c r="B62" s="9">
        <f>Data2026!B67</f>
        <v>46142</v>
      </c>
      <c r="C62" s="11" t="str">
        <f>Data2026!C67</f>
        <v>CPA</v>
      </c>
      <c r="D62" s="12" t="str">
        <f>Data2026!D67</f>
        <v>SharkLink</v>
      </c>
      <c r="E62" s="12" t="str">
        <f>Data2026!E67</f>
        <v>Nini_B</v>
      </c>
      <c r="F62" s="9">
        <f>Data2026!F67</f>
        <v>46142</v>
      </c>
      <c r="G62" s="70">
        <f>Data2026!G67</f>
        <v>950</v>
      </c>
      <c r="H62" s="30" t="str">
        <f>Data2026!H67</f>
        <v>Finished</v>
      </c>
      <c r="I62" s="30" t="str">
        <f>Data2026!I67</f>
        <v>Meta</v>
      </c>
      <c r="J62" s="9">
        <f>Data2026!J67</f>
        <v>46097</v>
      </c>
      <c r="K62" s="9">
        <f>Data2026!K67</f>
        <v>46129</v>
      </c>
      <c r="L62" s="43">
        <f t="shared" si="2"/>
        <v>0</v>
      </c>
      <c r="M62" s="43">
        <f t="shared" si="3"/>
        <v>0</v>
      </c>
      <c r="N62" s="43">
        <f t="shared" si="4"/>
        <v>475</v>
      </c>
      <c r="O62" s="43">
        <f t="shared" si="5"/>
        <v>475</v>
      </c>
      <c r="P62" s="43">
        <f t="shared" si="6"/>
        <v>0</v>
      </c>
      <c r="Q62" s="43">
        <f t="shared" si="7"/>
        <v>0</v>
      </c>
      <c r="R62" s="49" t="str">
        <f t="shared" ref="R62:S62" si="194">SUMIF(Tableau!$A:$A,$A62,Tableau!E:E)</f>
        <v>#N/A</v>
      </c>
      <c r="S62" s="49" t="str">
        <f t="shared" si="194"/>
        <v>#N/A</v>
      </c>
      <c r="W62" s="49" t="str">
        <f t="shared" si="195"/>
        <v>#N/A</v>
      </c>
      <c r="X62" s="49" t="str">
        <f t="shared" ref="X62:Y62" si="196">SUMIF(Tableau!$A:$A,$A62,Tableau!P:P)</f>
        <v>#N/A</v>
      </c>
      <c r="Y62" s="49" t="str">
        <f t="shared" si="196"/>
        <v>#N/A</v>
      </c>
      <c r="AE62" s="111" t="s">
        <v>335</v>
      </c>
      <c r="AF62" s="111">
        <f t="shared" ref="AF62:AL62" si="197">IFERROR(AF45/AF54,0)</f>
        <v>0</v>
      </c>
      <c r="AG62" s="111">
        <f t="shared" si="197"/>
        <v>0</v>
      </c>
      <c r="AH62" s="111">
        <f t="shared" si="197"/>
        <v>0</v>
      </c>
      <c r="AI62" s="111">
        <f t="shared" si="197"/>
        <v>0</v>
      </c>
      <c r="AJ62" s="111">
        <f t="shared" si="197"/>
        <v>0</v>
      </c>
      <c r="AK62" s="111">
        <f t="shared" si="197"/>
        <v>0</v>
      </c>
      <c r="AL62" s="111">
        <f t="shared" si="197"/>
        <v>0</v>
      </c>
      <c r="AN62" s="24"/>
      <c r="AX62" s="25"/>
      <c r="BR62" s="25"/>
      <c r="CF62" s="27"/>
      <c r="CG62" s="27"/>
      <c r="CH62" s="27"/>
      <c r="CI62" s="27"/>
      <c r="CJ62" s="27"/>
      <c r="CK62" s="27"/>
    </row>
    <row r="63" ht="18.0" customHeight="1">
      <c r="A63" s="30" t="str">
        <f>Data2026!A68</f>
        <v>VALECHOBERK</v>
      </c>
      <c r="B63" s="9">
        <f>Data2026!B68</f>
        <v>46142</v>
      </c>
      <c r="C63" s="11" t="str">
        <f>Data2026!C68</f>
        <v>Fixed</v>
      </c>
      <c r="D63" s="12" t="str">
        <f>Data2026!D68</f>
        <v>VALECHOBERK</v>
      </c>
      <c r="E63" s="12" t="str">
        <f>Data2026!E68</f>
        <v>Nini_B</v>
      </c>
      <c r="F63" s="9">
        <f>Data2026!F68</f>
        <v>46142</v>
      </c>
      <c r="G63" s="70">
        <f>Data2026!G68</f>
        <v>2700</v>
      </c>
      <c r="H63" s="30" t="str">
        <f>Data2026!H68</f>
        <v>Finished</v>
      </c>
      <c r="I63" s="30" t="str">
        <f>Data2026!I68</f>
        <v>Influence</v>
      </c>
      <c r="J63" s="9">
        <f>Data2026!J68</f>
        <v>46130</v>
      </c>
      <c r="K63" s="9">
        <f>Data2026!K68</f>
        <v>46145</v>
      </c>
      <c r="L63" s="43">
        <f t="shared" si="2"/>
        <v>0</v>
      </c>
      <c r="M63" s="43">
        <f t="shared" si="3"/>
        <v>0</v>
      </c>
      <c r="N63" s="43">
        <f t="shared" si="4"/>
        <v>0</v>
      </c>
      <c r="O63" s="43">
        <f t="shared" si="5"/>
        <v>2340</v>
      </c>
      <c r="P63" s="43">
        <f t="shared" si="6"/>
        <v>360</v>
      </c>
      <c r="Q63" s="43">
        <f t="shared" si="7"/>
        <v>0</v>
      </c>
      <c r="R63" s="49" t="str">
        <f t="shared" ref="R63:W63" si="198">SUMIF(Tableau!$A:$A,$A63,Tableau!E:E)</f>
        <v>#N/A</v>
      </c>
      <c r="S63" s="49" t="str">
        <f t="shared" si="198"/>
        <v>#N/A</v>
      </c>
      <c r="T63" s="49" t="str">
        <f t="shared" si="198"/>
        <v>#N/A</v>
      </c>
      <c r="U63" s="49" t="str">
        <f t="shared" si="198"/>
        <v>#N/A</v>
      </c>
      <c r="V63" s="49" t="str">
        <f t="shared" si="198"/>
        <v>#N/A</v>
      </c>
      <c r="W63" s="49" t="str">
        <f t="shared" si="198"/>
        <v>#N/A</v>
      </c>
      <c r="X63" s="49" t="str">
        <f t="shared" ref="X63:AC63" si="199">SUMIF(Tableau!$A:$A,$A63,Tableau!P:P)</f>
        <v>#N/A</v>
      </c>
      <c r="Y63" s="49" t="str">
        <f t="shared" si="199"/>
        <v>#N/A</v>
      </c>
      <c r="Z63" s="49" t="str">
        <f t="shared" si="199"/>
        <v>#N/A</v>
      </c>
      <c r="AA63" s="49" t="str">
        <f t="shared" si="199"/>
        <v>#N/A</v>
      </c>
      <c r="AB63" s="49" t="str">
        <f t="shared" si="199"/>
        <v>#N/A</v>
      </c>
      <c r="AC63" s="49" t="str">
        <f t="shared" si="199"/>
        <v>#N/A</v>
      </c>
      <c r="AE63" s="22"/>
      <c r="AF63" s="22"/>
      <c r="AG63" s="22"/>
      <c r="AH63" s="22"/>
      <c r="AI63" s="22"/>
      <c r="AJ63" s="22"/>
      <c r="AK63" s="22"/>
      <c r="AL63" s="22"/>
      <c r="AN63" s="24"/>
      <c r="AX63" s="25"/>
      <c r="BR63" s="25"/>
      <c r="CF63" s="27"/>
      <c r="CG63" s="27"/>
      <c r="CH63" s="27"/>
      <c r="CI63" s="27"/>
      <c r="CJ63" s="27"/>
      <c r="CK63" s="27"/>
    </row>
    <row r="64" ht="18.0" customHeight="1">
      <c r="A64" s="30" t="str">
        <f>Data2026!A69</f>
        <v>fbpromowebteam</v>
      </c>
      <c r="B64" s="9">
        <f>Data2026!B69</f>
        <v>46143</v>
      </c>
      <c r="C64" s="11" t="str">
        <f>Data2026!C69</f>
        <v>Fixed</v>
      </c>
      <c r="D64" s="12" t="str">
        <f>Data2026!D69</f>
        <v>fbpromowebteam</v>
      </c>
      <c r="E64" s="12" t="str">
        <f>Data2026!E69</f>
        <v>Elene_Gh</v>
      </c>
      <c r="F64" s="9">
        <f>Data2026!F69</f>
        <v>46143</v>
      </c>
      <c r="G64" s="70">
        <f>Data2026!G69</f>
        <v>879.82</v>
      </c>
      <c r="H64" s="30" t="str">
        <f>Data2026!H69</f>
        <v>Finished</v>
      </c>
      <c r="I64" s="30" t="str">
        <f>Data2026!I69</f>
        <v>Meta</v>
      </c>
      <c r="J64" s="9">
        <f>Data2026!J69</f>
        <v>46143</v>
      </c>
      <c r="K64" s="9">
        <f>Data2026!K69</f>
        <v>46173</v>
      </c>
      <c r="L64" s="43">
        <f t="shared" si="2"/>
        <v>0</v>
      </c>
      <c r="M64" s="43">
        <f t="shared" si="3"/>
        <v>0</v>
      </c>
      <c r="N64" s="43">
        <f t="shared" si="4"/>
        <v>0</v>
      </c>
      <c r="O64" s="43">
        <f t="shared" si="5"/>
        <v>0</v>
      </c>
      <c r="P64" s="43">
        <f t="shared" si="6"/>
        <v>879.82</v>
      </c>
      <c r="Q64" s="43">
        <f t="shared" si="7"/>
        <v>0</v>
      </c>
      <c r="R64" s="49" t="str">
        <f t="shared" ref="R64:W64" si="200">SUMIF(Tableau!$A:$A,$A64,Tableau!E:E)</f>
        <v>#N/A</v>
      </c>
      <c r="S64" s="49" t="str">
        <f t="shared" si="200"/>
        <v>#N/A</v>
      </c>
      <c r="T64" s="49" t="str">
        <f t="shared" si="200"/>
        <v>#N/A</v>
      </c>
      <c r="U64" s="49" t="str">
        <f t="shared" si="200"/>
        <v>#N/A</v>
      </c>
      <c r="V64" s="49" t="str">
        <f t="shared" si="200"/>
        <v>#N/A</v>
      </c>
      <c r="W64" s="49" t="str">
        <f t="shared" si="200"/>
        <v>#N/A</v>
      </c>
      <c r="X64" s="49" t="str">
        <f t="shared" ref="X64:AC64" si="201">SUMIF(Tableau!$A:$A,$A64,Tableau!P:P)</f>
        <v>#N/A</v>
      </c>
      <c r="Y64" s="49" t="str">
        <f t="shared" si="201"/>
        <v>#N/A</v>
      </c>
      <c r="Z64" s="49" t="str">
        <f t="shared" si="201"/>
        <v>#N/A</v>
      </c>
      <c r="AA64" s="49" t="str">
        <f t="shared" si="201"/>
        <v>#N/A</v>
      </c>
      <c r="AB64" s="49" t="str">
        <f t="shared" si="201"/>
        <v>#N/A</v>
      </c>
      <c r="AC64" s="49" t="str">
        <f t="shared" si="201"/>
        <v>#N/A</v>
      </c>
      <c r="AF64" s="22"/>
      <c r="AG64" s="22"/>
      <c r="AH64" s="22"/>
      <c r="AI64" s="22"/>
      <c r="AJ64" s="22"/>
      <c r="AK64" s="23"/>
      <c r="AN64" s="24"/>
      <c r="AX64" s="25"/>
      <c r="BR64" s="25"/>
      <c r="CF64" s="27"/>
      <c r="CG64" s="27"/>
      <c r="CH64" s="27"/>
      <c r="CI64" s="27"/>
      <c r="CJ64" s="27"/>
      <c r="CK64" s="27"/>
    </row>
    <row r="65" ht="18.0" customHeight="1">
      <c r="A65" s="30" t="str">
        <f t="shared" ref="A65:K65" si="202">#REF!</f>
        <v>#REF!</v>
      </c>
      <c r="B65" s="9" t="str">
        <f t="shared" si="202"/>
        <v>#REF!</v>
      </c>
      <c r="C65" s="11" t="str">
        <f t="shared" si="202"/>
        <v>#REF!</v>
      </c>
      <c r="D65" s="12" t="str">
        <f t="shared" si="202"/>
        <v>#REF!</v>
      </c>
      <c r="E65" s="12" t="str">
        <f t="shared" si="202"/>
        <v>#REF!</v>
      </c>
      <c r="F65" s="9" t="str">
        <f t="shared" si="202"/>
        <v>#REF!</v>
      </c>
      <c r="G65" s="70" t="str">
        <f t="shared" si="202"/>
        <v>#REF!</v>
      </c>
      <c r="H65" s="30" t="str">
        <f t="shared" si="202"/>
        <v>#REF!</v>
      </c>
      <c r="I65" s="30" t="str">
        <f t="shared" si="202"/>
        <v>#REF!</v>
      </c>
      <c r="J65" s="9" t="str">
        <f t="shared" si="202"/>
        <v>#REF!</v>
      </c>
      <c r="K65" s="9" t="str">
        <f t="shared" si="202"/>
        <v>#REF!</v>
      </c>
      <c r="L65" s="43" t="str">
        <f t="shared" si="2"/>
        <v>#REF!</v>
      </c>
      <c r="M65" s="43" t="str">
        <f t="shared" si="3"/>
        <v>#REF!</v>
      </c>
      <c r="N65" s="43" t="str">
        <f t="shared" si="4"/>
        <v>#REF!</v>
      </c>
      <c r="O65" s="43" t="str">
        <f t="shared" si="5"/>
        <v>#REF!</v>
      </c>
      <c r="P65" s="43" t="str">
        <f t="shared" si="6"/>
        <v>#REF!</v>
      </c>
      <c r="Q65" s="43" t="str">
        <f t="shared" si="7"/>
        <v>#REF!</v>
      </c>
      <c r="R65" s="49" t="str">
        <f t="shared" ref="R65:W65" si="203">SUMIF(Tableau!$A:$A,$A65,Tableau!E:E)</f>
        <v>#N/A</v>
      </c>
      <c r="S65" s="49" t="str">
        <f t="shared" si="203"/>
        <v>#N/A</v>
      </c>
      <c r="T65" s="49" t="str">
        <f t="shared" si="203"/>
        <v>#N/A</v>
      </c>
      <c r="U65" s="49" t="str">
        <f t="shared" si="203"/>
        <v>#N/A</v>
      </c>
      <c r="V65" s="49" t="str">
        <f t="shared" si="203"/>
        <v>#N/A</v>
      </c>
      <c r="W65" s="49" t="str">
        <f t="shared" si="203"/>
        <v>#N/A</v>
      </c>
      <c r="X65" s="49" t="str">
        <f t="shared" ref="X65:AC65" si="204">SUMIF(Tableau!$A:$A,$A65,Tableau!P:P)</f>
        <v>#N/A</v>
      </c>
      <c r="Y65" s="49" t="str">
        <f t="shared" si="204"/>
        <v>#N/A</v>
      </c>
      <c r="Z65" s="49" t="str">
        <f t="shared" si="204"/>
        <v>#N/A</v>
      </c>
      <c r="AA65" s="49" t="str">
        <f t="shared" si="204"/>
        <v>#N/A</v>
      </c>
      <c r="AB65" s="49" t="str">
        <f t="shared" si="204"/>
        <v>#N/A</v>
      </c>
      <c r="AC65" s="49" t="str">
        <f t="shared" si="204"/>
        <v>#N/A</v>
      </c>
      <c r="AF65" s="22"/>
      <c r="AG65" s="22"/>
      <c r="AH65" s="22"/>
      <c r="AI65" s="22"/>
      <c r="AJ65" s="22"/>
      <c r="AK65" s="23"/>
      <c r="AN65" s="24"/>
      <c r="AX65" s="25"/>
      <c r="BR65" s="25"/>
      <c r="CF65" s="27"/>
      <c r="CG65" s="27"/>
      <c r="CH65" s="27"/>
      <c r="CI65" s="27"/>
      <c r="CJ65" s="27"/>
      <c r="CK65" s="27"/>
    </row>
    <row r="66" ht="18.0" customHeight="1">
      <c r="A66" s="30" t="str">
        <f>Data2026!A70</f>
        <v>AcePartners2</v>
      </c>
      <c r="B66" s="9">
        <f>Data2026!B70</f>
        <v>46147</v>
      </c>
      <c r="C66" s="11" t="str">
        <f>Data2026!C70</f>
        <v>CPA</v>
      </c>
      <c r="D66" s="12" t="str">
        <f>Data2026!D70</f>
        <v>AcePartners2</v>
      </c>
      <c r="E66" s="12" t="str">
        <f>Data2026!E70</f>
        <v>Nini_B</v>
      </c>
      <c r="F66" s="9">
        <f>Data2026!F70</f>
        <v>46147</v>
      </c>
      <c r="G66" s="70">
        <f>Data2026!G70</f>
        <v>1280.95</v>
      </c>
      <c r="H66" s="30" t="str">
        <f>Data2026!H70</f>
        <v>Finished</v>
      </c>
      <c r="I66" s="30" t="str">
        <f>Data2026!I70</f>
        <v>Meta</v>
      </c>
      <c r="J66" s="9">
        <f>Data2026!J70</f>
        <v>46128</v>
      </c>
      <c r="K66" s="9">
        <f>Data2026!K70</f>
        <v>46140</v>
      </c>
      <c r="L66" s="43">
        <f t="shared" si="2"/>
        <v>0</v>
      </c>
      <c r="M66" s="43">
        <f t="shared" si="3"/>
        <v>0</v>
      </c>
      <c r="N66" s="43">
        <f t="shared" si="4"/>
        <v>0</v>
      </c>
      <c r="O66" s="43">
        <f t="shared" si="5"/>
        <v>1280.95</v>
      </c>
      <c r="P66" s="43">
        <f t="shared" si="6"/>
        <v>0</v>
      </c>
      <c r="Q66" s="43">
        <f t="shared" si="7"/>
        <v>0</v>
      </c>
      <c r="R66" s="49" t="str">
        <f t="shared" ref="R66:W66" si="205">SUMIF(Tableau!$A:$A,$A66,Tableau!E:E)</f>
        <v>#N/A</v>
      </c>
      <c r="S66" s="49" t="str">
        <f t="shared" si="205"/>
        <v>#N/A</v>
      </c>
      <c r="T66" s="49" t="str">
        <f t="shared" si="205"/>
        <v>#N/A</v>
      </c>
      <c r="U66" s="49" t="str">
        <f t="shared" si="205"/>
        <v>#N/A</v>
      </c>
      <c r="V66" s="49" t="str">
        <f t="shared" si="205"/>
        <v>#N/A</v>
      </c>
      <c r="W66" s="49" t="str">
        <f t="shared" si="205"/>
        <v>#N/A</v>
      </c>
      <c r="X66" s="49" t="str">
        <f t="shared" ref="X66:AC66" si="206">SUMIF(Tableau!$A:$A,$A66,Tableau!P:P)</f>
        <v>#N/A</v>
      </c>
      <c r="Y66" s="49" t="str">
        <f t="shared" si="206"/>
        <v>#N/A</v>
      </c>
      <c r="Z66" s="49" t="str">
        <f t="shared" si="206"/>
        <v>#N/A</v>
      </c>
      <c r="AA66" s="49" t="str">
        <f t="shared" si="206"/>
        <v>#N/A</v>
      </c>
      <c r="AB66" s="49" t="str">
        <f t="shared" si="206"/>
        <v>#N/A</v>
      </c>
      <c r="AC66" s="49" t="str">
        <f t="shared" si="206"/>
        <v>#N/A</v>
      </c>
      <c r="AF66" s="22"/>
      <c r="AG66" s="22"/>
      <c r="AH66" s="22"/>
      <c r="AI66" s="22"/>
      <c r="AJ66" s="22"/>
      <c r="AK66" s="23"/>
      <c r="AN66" s="24"/>
      <c r="AX66" s="25"/>
      <c r="BR66" s="25"/>
      <c r="CF66" s="27"/>
      <c r="CG66" s="27"/>
      <c r="CH66" s="27"/>
      <c r="CI66" s="27"/>
      <c r="CJ66" s="27"/>
      <c r="CK66" s="27"/>
    </row>
    <row r="67" ht="18.0" customHeight="1">
      <c r="A67" s="30" t="str">
        <f>Data2026!A71</f>
        <v>SaltySpins</v>
      </c>
      <c r="B67" s="9">
        <f>Data2026!B71</f>
        <v>46148</v>
      </c>
      <c r="C67" s="11" t="str">
        <f>Data2026!C71</f>
        <v>Fixed</v>
      </c>
      <c r="D67" s="12" t="str">
        <f>Data2026!D71</f>
        <v>SaltySpins</v>
      </c>
      <c r="E67" s="12" t="str">
        <f>Data2026!E71</f>
        <v>Elene_Gh</v>
      </c>
      <c r="F67" s="9">
        <f>Data2026!F71</f>
        <v>46148</v>
      </c>
      <c r="G67" s="70">
        <f>Data2026!G71</f>
        <v>256.68</v>
      </c>
      <c r="H67" s="30" t="str">
        <f>Data2026!H71</f>
        <v>Finished</v>
      </c>
      <c r="I67" s="30" t="str">
        <f>Data2026!I71</f>
        <v>Influence</v>
      </c>
      <c r="J67" s="9">
        <f>Data2026!J71</f>
        <v>46149</v>
      </c>
      <c r="K67" s="9">
        <f>Data2026!K71</f>
        <v>46161</v>
      </c>
      <c r="L67" s="43">
        <f t="shared" si="2"/>
        <v>0</v>
      </c>
      <c r="M67" s="43">
        <f t="shared" si="3"/>
        <v>0</v>
      </c>
      <c r="N67" s="43">
        <f t="shared" si="4"/>
        <v>0</v>
      </c>
      <c r="O67" s="43">
        <f t="shared" si="5"/>
        <v>0</v>
      </c>
      <c r="P67" s="43">
        <f t="shared" si="6"/>
        <v>256.68</v>
      </c>
      <c r="Q67" s="43">
        <f t="shared" si="7"/>
        <v>0</v>
      </c>
      <c r="R67" s="49" t="str">
        <f t="shared" ref="R67:W67" si="207">SUMIF(Tableau!$A:$A,$A67,Tableau!E:E)</f>
        <v>#N/A</v>
      </c>
      <c r="S67" s="49" t="str">
        <f t="shared" si="207"/>
        <v>#N/A</v>
      </c>
      <c r="T67" s="49" t="str">
        <f t="shared" si="207"/>
        <v>#N/A</v>
      </c>
      <c r="U67" s="49" t="str">
        <f t="shared" si="207"/>
        <v>#N/A</v>
      </c>
      <c r="V67" s="49" t="str">
        <f t="shared" si="207"/>
        <v>#N/A</v>
      </c>
      <c r="W67" s="49" t="str">
        <f t="shared" si="207"/>
        <v>#N/A</v>
      </c>
      <c r="X67" s="49" t="str">
        <f t="shared" ref="X67:AC67" si="208">SUMIF(Tableau!$A:$A,$A67,Tableau!P:P)</f>
        <v>#N/A</v>
      </c>
      <c r="Y67" s="49" t="str">
        <f t="shared" si="208"/>
        <v>#N/A</v>
      </c>
      <c r="Z67" s="49" t="str">
        <f t="shared" si="208"/>
        <v>#N/A</v>
      </c>
      <c r="AA67" s="49" t="str">
        <f t="shared" si="208"/>
        <v>#N/A</v>
      </c>
      <c r="AB67" s="49" t="str">
        <f t="shared" si="208"/>
        <v>#N/A</v>
      </c>
      <c r="AC67" s="49" t="str">
        <f t="shared" si="208"/>
        <v>#N/A</v>
      </c>
      <c r="AF67" s="22"/>
      <c r="AG67" s="22"/>
      <c r="AH67" s="22"/>
      <c r="AI67" s="22"/>
      <c r="AJ67" s="22"/>
      <c r="AK67" s="23"/>
      <c r="AN67" s="24"/>
      <c r="AX67" s="25"/>
      <c r="BR67" s="25"/>
      <c r="CF67" s="27"/>
      <c r="CG67" s="27"/>
      <c r="CH67" s="27"/>
      <c r="CI67" s="27"/>
      <c r="CJ67" s="27"/>
      <c r="CK67" s="27"/>
    </row>
    <row r="68" ht="18.0" customHeight="1">
      <c r="A68" s="30" t="str">
        <f>Data2026!A72</f>
        <v>speedfps1</v>
      </c>
      <c r="B68" s="9">
        <f>Data2026!B72</f>
        <v>46148</v>
      </c>
      <c r="C68" s="11" t="str">
        <f>Data2026!C72</f>
        <v>Fixed</v>
      </c>
      <c r="D68" s="12" t="str">
        <f>Data2026!D72</f>
        <v>speedfps1</v>
      </c>
      <c r="E68" s="12" t="str">
        <f>Data2026!E72</f>
        <v>Elene_Gh</v>
      </c>
      <c r="F68" s="9">
        <f>Data2026!F72</f>
        <v>46148</v>
      </c>
      <c r="G68" s="70">
        <f>Data2026!G72</f>
        <v>2815.65</v>
      </c>
      <c r="H68" s="30" t="str">
        <f>Data2026!H72</f>
        <v>Finished</v>
      </c>
      <c r="I68" s="30" t="str">
        <f>Data2026!I72</f>
        <v>Influence</v>
      </c>
      <c r="J68" s="9">
        <f>Data2026!J72</f>
        <v>46149</v>
      </c>
      <c r="K68" s="9">
        <f>Data2026!K72</f>
        <v>46173</v>
      </c>
      <c r="L68" s="43">
        <f t="shared" si="2"/>
        <v>0</v>
      </c>
      <c r="M68" s="43">
        <f t="shared" si="3"/>
        <v>0</v>
      </c>
      <c r="N68" s="43">
        <f t="shared" si="4"/>
        <v>0</v>
      </c>
      <c r="O68" s="43">
        <f t="shared" si="5"/>
        <v>0</v>
      </c>
      <c r="P68" s="43">
        <f t="shared" si="6"/>
        <v>2815.65</v>
      </c>
      <c r="Q68" s="43">
        <f t="shared" si="7"/>
        <v>0</v>
      </c>
      <c r="R68" s="49" t="str">
        <f t="shared" ref="R68:W68" si="209">SUMIF(Tableau!$A:$A,$A68,Tableau!E:E)</f>
        <v>#N/A</v>
      </c>
      <c r="S68" s="49" t="str">
        <f t="shared" si="209"/>
        <v>#N/A</v>
      </c>
      <c r="T68" s="49" t="str">
        <f t="shared" si="209"/>
        <v>#N/A</v>
      </c>
      <c r="U68" s="49" t="str">
        <f t="shared" si="209"/>
        <v>#N/A</v>
      </c>
      <c r="V68" s="49" t="str">
        <f t="shared" si="209"/>
        <v>#N/A</v>
      </c>
      <c r="W68" s="49" t="str">
        <f t="shared" si="209"/>
        <v>#N/A</v>
      </c>
      <c r="X68" s="49" t="str">
        <f t="shared" ref="X68:AC68" si="210">SUMIF(Tableau!$A:$A,$A68,Tableau!P:P)</f>
        <v>#N/A</v>
      </c>
      <c r="Y68" s="49" t="str">
        <f t="shared" si="210"/>
        <v>#N/A</v>
      </c>
      <c r="Z68" s="49" t="str">
        <f t="shared" si="210"/>
        <v>#N/A</v>
      </c>
      <c r="AA68" s="49" t="str">
        <f t="shared" si="210"/>
        <v>#N/A</v>
      </c>
      <c r="AB68" s="49" t="str">
        <f t="shared" si="210"/>
        <v>#N/A</v>
      </c>
      <c r="AC68" s="49" t="str">
        <f t="shared" si="210"/>
        <v>#N/A</v>
      </c>
      <c r="AF68" s="22"/>
      <c r="AG68" s="22"/>
      <c r="AH68" s="22"/>
      <c r="AI68" s="22"/>
      <c r="AJ68" s="22"/>
      <c r="AK68" s="23"/>
      <c r="AN68" s="24"/>
      <c r="AX68" s="25"/>
      <c r="BR68" s="25"/>
      <c r="CF68" s="27"/>
      <c r="CG68" s="27"/>
      <c r="CH68" s="27"/>
      <c r="CI68" s="27"/>
      <c r="CJ68" s="27"/>
      <c r="CK68" s="27"/>
    </row>
    <row r="69" ht="18.0" customHeight="1">
      <c r="A69" s="30" t="str">
        <f>Data2026!A73</f>
        <v>bennyparcerias</v>
      </c>
      <c r="B69" s="9">
        <f>Data2026!B73</f>
        <v>46149</v>
      </c>
      <c r="C69" s="11" t="str">
        <f>Data2026!C73</f>
        <v>Fixed</v>
      </c>
      <c r="D69" s="12" t="str">
        <f>Data2026!D73</f>
        <v>bennyparcerias</v>
      </c>
      <c r="E69" s="12" t="str">
        <f>Data2026!E73</f>
        <v>Nini_B</v>
      </c>
      <c r="F69" s="9">
        <f>Data2026!F73</f>
        <v>46149</v>
      </c>
      <c r="G69" s="70">
        <f>Data2026!G73</f>
        <v>4000</v>
      </c>
      <c r="H69" s="30" t="str">
        <f>Data2026!H73</f>
        <v>Finished</v>
      </c>
      <c r="I69" s="30" t="str">
        <f>Data2026!I73</f>
        <v>Influence</v>
      </c>
      <c r="J69" s="9">
        <f>Data2026!J73</f>
        <v>46160</v>
      </c>
      <c r="K69" s="9">
        <f>Data2026!K73</f>
        <v>46173</v>
      </c>
      <c r="L69" s="43">
        <f t="shared" si="2"/>
        <v>0</v>
      </c>
      <c r="M69" s="43">
        <f t="shared" si="3"/>
        <v>0</v>
      </c>
      <c r="N69" s="43">
        <f t="shared" si="4"/>
        <v>0</v>
      </c>
      <c r="O69" s="43">
        <f t="shared" si="5"/>
        <v>0</v>
      </c>
      <c r="P69" s="43">
        <f t="shared" si="6"/>
        <v>4000</v>
      </c>
      <c r="Q69" s="43">
        <f t="shared" si="7"/>
        <v>0</v>
      </c>
      <c r="R69" s="49" t="str">
        <f t="shared" ref="R69:W69" si="211">SUMIF(Tableau!$A:$A,$A69,Tableau!E:E)</f>
        <v>#N/A</v>
      </c>
      <c r="S69" s="49" t="str">
        <f t="shared" si="211"/>
        <v>#N/A</v>
      </c>
      <c r="T69" s="49" t="str">
        <f t="shared" si="211"/>
        <v>#N/A</v>
      </c>
      <c r="U69" s="49" t="str">
        <f t="shared" si="211"/>
        <v>#N/A</v>
      </c>
      <c r="V69" s="49" t="str">
        <f t="shared" si="211"/>
        <v>#N/A</v>
      </c>
      <c r="W69" s="49" t="str">
        <f t="shared" si="211"/>
        <v>#N/A</v>
      </c>
      <c r="X69" s="49" t="str">
        <f t="shared" ref="X69:AC69" si="212">SUMIF(Tableau!$A:$A,$A69,Tableau!P:P)</f>
        <v>#N/A</v>
      </c>
      <c r="Y69" s="49" t="str">
        <f t="shared" si="212"/>
        <v>#N/A</v>
      </c>
      <c r="Z69" s="49" t="str">
        <f t="shared" si="212"/>
        <v>#N/A</v>
      </c>
      <c r="AA69" s="49" t="str">
        <f t="shared" si="212"/>
        <v>#N/A</v>
      </c>
      <c r="AB69" s="49" t="str">
        <f t="shared" si="212"/>
        <v>#N/A</v>
      </c>
      <c r="AC69" s="49" t="str">
        <f t="shared" si="212"/>
        <v>#N/A</v>
      </c>
      <c r="AF69" s="22"/>
      <c r="AG69" s="22"/>
      <c r="AH69" s="22"/>
      <c r="AI69" s="22"/>
      <c r="AJ69" s="22"/>
      <c r="AK69" s="23"/>
      <c r="AN69" s="24"/>
      <c r="AX69" s="25"/>
      <c r="BR69" s="25"/>
      <c r="CF69" s="27"/>
      <c r="CG69" s="27"/>
      <c r="CH69" s="27"/>
      <c r="CI69" s="27"/>
      <c r="CJ69" s="27"/>
      <c r="CK69" s="27"/>
    </row>
    <row r="70" ht="18.0" customHeight="1">
      <c r="A70" s="30" t="str">
        <f>Data2026!A74</f>
        <v>worldyt</v>
      </c>
      <c r="B70" s="9">
        <f>Data2026!B74</f>
        <v>46149</v>
      </c>
      <c r="C70" s="11" t="str">
        <f>Data2026!C74</f>
        <v>Fixed</v>
      </c>
      <c r="D70" s="12" t="str">
        <f>Data2026!D74</f>
        <v>worldyt</v>
      </c>
      <c r="E70" s="12" t="str">
        <f>Data2026!E74</f>
        <v>Nini_B</v>
      </c>
      <c r="F70" s="9">
        <f>Data2026!F74</f>
        <v>46149</v>
      </c>
      <c r="G70" s="70">
        <f>Data2026!G74</f>
        <v>4000</v>
      </c>
      <c r="H70" s="30" t="str">
        <f>Data2026!H74</f>
        <v>Finished</v>
      </c>
      <c r="I70" s="30" t="str">
        <f>Data2026!I74</f>
        <v>Influence</v>
      </c>
      <c r="J70" s="9">
        <f>Data2026!J74</f>
        <v>46160</v>
      </c>
      <c r="K70" s="9">
        <f>Data2026!K74</f>
        <v>46173</v>
      </c>
      <c r="L70" s="43">
        <f t="shared" si="2"/>
        <v>0</v>
      </c>
      <c r="M70" s="43">
        <f t="shared" si="3"/>
        <v>0</v>
      </c>
      <c r="N70" s="43">
        <f t="shared" si="4"/>
        <v>0</v>
      </c>
      <c r="O70" s="43">
        <f t="shared" si="5"/>
        <v>0</v>
      </c>
      <c r="P70" s="43">
        <f t="shared" si="6"/>
        <v>4000</v>
      </c>
      <c r="Q70" s="43">
        <f t="shared" si="7"/>
        <v>0</v>
      </c>
      <c r="R70" s="49" t="str">
        <f t="shared" ref="R70:W70" si="213">SUMIF(Tableau!$A:$A,$A70,Tableau!E:E)</f>
        <v>#N/A</v>
      </c>
      <c r="S70" s="49" t="str">
        <f t="shared" si="213"/>
        <v>#N/A</v>
      </c>
      <c r="T70" s="49" t="str">
        <f t="shared" si="213"/>
        <v>#N/A</v>
      </c>
      <c r="U70" s="49" t="str">
        <f t="shared" si="213"/>
        <v>#N/A</v>
      </c>
      <c r="V70" s="49" t="str">
        <f t="shared" si="213"/>
        <v>#N/A</v>
      </c>
      <c r="W70" s="49" t="str">
        <f t="shared" si="213"/>
        <v>#N/A</v>
      </c>
      <c r="X70" s="49" t="str">
        <f t="shared" ref="X70:AC70" si="214">SUMIF(Tableau!$A:$A,$A70,Tableau!P:P)</f>
        <v>#N/A</v>
      </c>
      <c r="Y70" s="49" t="str">
        <f t="shared" si="214"/>
        <v>#N/A</v>
      </c>
      <c r="Z70" s="49" t="str">
        <f t="shared" si="214"/>
        <v>#N/A</v>
      </c>
      <c r="AA70" s="49" t="str">
        <f t="shared" si="214"/>
        <v>#N/A</v>
      </c>
      <c r="AB70" s="49" t="str">
        <f t="shared" si="214"/>
        <v>#N/A</v>
      </c>
      <c r="AC70" s="49" t="str">
        <f t="shared" si="214"/>
        <v>#N/A</v>
      </c>
      <c r="AF70" s="22"/>
      <c r="AG70" s="22"/>
      <c r="AH70" s="22"/>
      <c r="AI70" s="22"/>
      <c r="AJ70" s="22"/>
      <c r="AK70" s="23"/>
      <c r="AN70" s="24"/>
      <c r="AX70" s="25"/>
      <c r="BR70" s="25"/>
      <c r="CF70" s="27"/>
      <c r="CG70" s="27"/>
      <c r="CH70" s="27"/>
      <c r="CI70" s="27"/>
      <c r="CJ70" s="27"/>
      <c r="CK70" s="27"/>
    </row>
    <row r="71" ht="18.0" customHeight="1">
      <c r="A71" s="30" t="str">
        <f>Data2026!A75</f>
        <v>jonbossparcerias</v>
      </c>
      <c r="B71" s="9">
        <f>Data2026!B75</f>
        <v>46149</v>
      </c>
      <c r="C71" s="11" t="str">
        <f>Data2026!C75</f>
        <v>Fixed</v>
      </c>
      <c r="D71" s="12" t="str">
        <f>Data2026!D75</f>
        <v>jonbossparcerias</v>
      </c>
      <c r="E71" s="12" t="str">
        <f>Data2026!E75</f>
        <v>Nini_B</v>
      </c>
      <c r="F71" s="9">
        <f>Data2026!F75</f>
        <v>46149</v>
      </c>
      <c r="G71" s="70">
        <f>Data2026!G75</f>
        <v>2125</v>
      </c>
      <c r="H71" s="30" t="str">
        <f>Data2026!H75</f>
        <v>Finished</v>
      </c>
      <c r="I71" s="30" t="str">
        <f>Data2026!I75</f>
        <v>Influence</v>
      </c>
      <c r="J71" s="9">
        <f>Data2026!J75</f>
        <v>46149</v>
      </c>
      <c r="K71" s="9">
        <f>Data2026!K75</f>
        <v>46173</v>
      </c>
      <c r="L71" s="43">
        <f t="shared" si="2"/>
        <v>0</v>
      </c>
      <c r="M71" s="43">
        <f t="shared" si="3"/>
        <v>0</v>
      </c>
      <c r="N71" s="43">
        <f t="shared" si="4"/>
        <v>0</v>
      </c>
      <c r="O71" s="43">
        <f t="shared" si="5"/>
        <v>0</v>
      </c>
      <c r="P71" s="43">
        <f t="shared" si="6"/>
        <v>2125</v>
      </c>
      <c r="Q71" s="43">
        <f t="shared" si="7"/>
        <v>0</v>
      </c>
      <c r="R71" s="49" t="str">
        <f t="shared" ref="R71:W71" si="215">SUMIF(Tableau!$A:$A,$A71,Tableau!E:E)</f>
        <v>#N/A</v>
      </c>
      <c r="S71" s="49" t="str">
        <f t="shared" si="215"/>
        <v>#N/A</v>
      </c>
      <c r="T71" s="49" t="str">
        <f t="shared" si="215"/>
        <v>#N/A</v>
      </c>
      <c r="U71" s="49" t="str">
        <f t="shared" si="215"/>
        <v>#N/A</v>
      </c>
      <c r="V71" s="49" t="str">
        <f t="shared" si="215"/>
        <v>#N/A</v>
      </c>
      <c r="W71" s="49" t="str">
        <f t="shared" si="215"/>
        <v>#N/A</v>
      </c>
      <c r="X71" s="49" t="str">
        <f t="shared" ref="X71:AC71" si="216">SUMIF(Tableau!$A:$A,$A71,Tableau!P:P)</f>
        <v>#N/A</v>
      </c>
      <c r="Y71" s="49" t="str">
        <f t="shared" si="216"/>
        <v>#N/A</v>
      </c>
      <c r="Z71" s="49" t="str">
        <f t="shared" si="216"/>
        <v>#N/A</v>
      </c>
      <c r="AA71" s="49" t="str">
        <f t="shared" si="216"/>
        <v>#N/A</v>
      </c>
      <c r="AB71" s="49" t="str">
        <f t="shared" si="216"/>
        <v>#N/A</v>
      </c>
      <c r="AC71" s="49" t="str">
        <f t="shared" si="216"/>
        <v>#N/A</v>
      </c>
      <c r="AF71" s="22"/>
      <c r="AG71" s="22"/>
      <c r="AH71" s="22"/>
      <c r="AI71" s="22"/>
      <c r="AJ71" s="22"/>
      <c r="AK71" s="23"/>
      <c r="AN71" s="24"/>
      <c r="AX71" s="25"/>
      <c r="BR71" s="25"/>
      <c r="CF71" s="27"/>
      <c r="CG71" s="27"/>
      <c r="CH71" s="27"/>
      <c r="CI71" s="27"/>
      <c r="CJ71" s="27"/>
      <c r="CK71" s="27"/>
    </row>
    <row r="72" ht="18.0" customHeight="1">
      <c r="A72" s="30" t="str">
        <f>Data2026!A76</f>
        <v>Ethanx</v>
      </c>
      <c r="B72" s="9">
        <f>Data2026!B76</f>
        <v>46150</v>
      </c>
      <c r="C72" s="11" t="str">
        <f>Data2026!C76</f>
        <v>Fixed</v>
      </c>
      <c r="D72" s="12" t="str">
        <f>Data2026!D76</f>
        <v>Ethanx</v>
      </c>
      <c r="E72" s="12" t="str">
        <f>Data2026!E76</f>
        <v>Elene_Gh</v>
      </c>
      <c r="F72" s="9">
        <f>Data2026!F76</f>
        <v>46150</v>
      </c>
      <c r="G72" s="70">
        <f>Data2026!G76</f>
        <v>594.67</v>
      </c>
      <c r="H72" s="30" t="str">
        <f>Data2026!H76</f>
        <v>Finished</v>
      </c>
      <c r="I72" s="30" t="str">
        <f>Data2026!I76</f>
        <v>Influence</v>
      </c>
      <c r="J72" s="9">
        <f>Data2026!J76</f>
        <v>46149</v>
      </c>
      <c r="K72" s="9">
        <f>Data2026!K76</f>
        <v>46161</v>
      </c>
      <c r="L72" s="43">
        <f t="shared" si="2"/>
        <v>0</v>
      </c>
      <c r="M72" s="43">
        <f t="shared" si="3"/>
        <v>0</v>
      </c>
      <c r="N72" s="43">
        <f t="shared" si="4"/>
        <v>0</v>
      </c>
      <c r="O72" s="43">
        <f t="shared" si="5"/>
        <v>0</v>
      </c>
      <c r="P72" s="43">
        <f t="shared" si="6"/>
        <v>594.67</v>
      </c>
      <c r="Q72" s="43">
        <f t="shared" si="7"/>
        <v>0</v>
      </c>
      <c r="R72" s="49" t="str">
        <f t="shared" ref="R72:W72" si="217">SUMIF(Tableau!$A:$A,$A72,Tableau!E:E)</f>
        <v>#N/A</v>
      </c>
      <c r="S72" s="49" t="str">
        <f t="shared" si="217"/>
        <v>#N/A</v>
      </c>
      <c r="T72" s="49" t="str">
        <f t="shared" si="217"/>
        <v>#N/A</v>
      </c>
      <c r="U72" s="49" t="str">
        <f t="shared" si="217"/>
        <v>#N/A</v>
      </c>
      <c r="V72" s="49" t="str">
        <f t="shared" si="217"/>
        <v>#N/A</v>
      </c>
      <c r="W72" s="49" t="str">
        <f t="shared" si="217"/>
        <v>#N/A</v>
      </c>
      <c r="X72" s="49" t="str">
        <f t="shared" ref="X72:AC72" si="218">SUMIF(Tableau!$A:$A,$A72,Tableau!P:P)</f>
        <v>#N/A</v>
      </c>
      <c r="Y72" s="49" t="str">
        <f t="shared" si="218"/>
        <v>#N/A</v>
      </c>
      <c r="Z72" s="49" t="str">
        <f t="shared" si="218"/>
        <v>#N/A</v>
      </c>
      <c r="AA72" s="49" t="str">
        <f t="shared" si="218"/>
        <v>#N/A</v>
      </c>
      <c r="AB72" s="49" t="str">
        <f t="shared" si="218"/>
        <v>#N/A</v>
      </c>
      <c r="AC72" s="49" t="str">
        <f t="shared" si="218"/>
        <v>#N/A</v>
      </c>
      <c r="AF72" s="22"/>
      <c r="AG72" s="22"/>
      <c r="AH72" s="22"/>
      <c r="AI72" s="22"/>
      <c r="AJ72" s="22"/>
      <c r="AK72" s="23"/>
      <c r="AN72" s="24"/>
      <c r="AX72" s="25"/>
      <c r="BR72" s="25"/>
      <c r="CF72" s="27"/>
      <c r="CG72" s="27"/>
      <c r="CH72" s="27"/>
      <c r="CI72" s="27"/>
      <c r="CJ72" s="27"/>
      <c r="CK72" s="27"/>
    </row>
    <row r="73" ht="18.0" customHeight="1">
      <c r="A73" s="30" t="str">
        <f>Data2026!A77</f>
        <v>moobslots</v>
      </c>
      <c r="B73" s="9">
        <f>Data2026!B77</f>
        <v>46150</v>
      </c>
      <c r="C73" s="11" t="str">
        <f>Data2026!C77</f>
        <v>Fixed</v>
      </c>
      <c r="D73" s="12" t="str">
        <f>Data2026!D77</f>
        <v>moobslots</v>
      </c>
      <c r="E73" s="12" t="str">
        <f>Data2026!E77</f>
        <v>Nini_B</v>
      </c>
      <c r="F73" s="9">
        <f>Data2026!F77</f>
        <v>46150</v>
      </c>
      <c r="G73" s="70">
        <f>Data2026!G77</f>
        <v>7500</v>
      </c>
      <c r="H73" s="30" t="str">
        <f>Data2026!H77</f>
        <v>Finished</v>
      </c>
      <c r="I73" s="30" t="str">
        <f>Data2026!I77</f>
        <v>Influence</v>
      </c>
      <c r="J73" s="9">
        <f>Data2026!J77</f>
        <v>46152</v>
      </c>
      <c r="K73" s="9">
        <f>Data2026!K77</f>
        <v>46167</v>
      </c>
      <c r="L73" s="43">
        <f t="shared" si="2"/>
        <v>0</v>
      </c>
      <c r="M73" s="43">
        <f t="shared" si="3"/>
        <v>0</v>
      </c>
      <c r="N73" s="43">
        <f t="shared" si="4"/>
        <v>0</v>
      </c>
      <c r="O73" s="43">
        <f t="shared" si="5"/>
        <v>0</v>
      </c>
      <c r="P73" s="43">
        <f t="shared" si="6"/>
        <v>7500</v>
      </c>
      <c r="Q73" s="43">
        <f t="shared" si="7"/>
        <v>0</v>
      </c>
      <c r="R73" s="49" t="str">
        <f t="shared" ref="R73:W73" si="219">SUMIF(Tableau!$A:$A,$A73,Tableau!E:E)</f>
        <v>#N/A</v>
      </c>
      <c r="S73" s="49" t="str">
        <f t="shared" si="219"/>
        <v>#N/A</v>
      </c>
      <c r="T73" s="49" t="str">
        <f t="shared" si="219"/>
        <v>#N/A</v>
      </c>
      <c r="U73" s="49" t="str">
        <f t="shared" si="219"/>
        <v>#N/A</v>
      </c>
      <c r="V73" s="49" t="str">
        <f t="shared" si="219"/>
        <v>#N/A</v>
      </c>
      <c r="W73" s="49" t="str">
        <f t="shared" si="219"/>
        <v>#N/A</v>
      </c>
      <c r="X73" s="49" t="str">
        <f t="shared" ref="X73:AC73" si="220">SUMIF(Tableau!$A:$A,$A73,Tableau!P:P)</f>
        <v>#N/A</v>
      </c>
      <c r="Y73" s="49" t="str">
        <f t="shared" si="220"/>
        <v>#N/A</v>
      </c>
      <c r="Z73" s="49" t="str">
        <f t="shared" si="220"/>
        <v>#N/A</v>
      </c>
      <c r="AA73" s="49" t="str">
        <f t="shared" si="220"/>
        <v>#N/A</v>
      </c>
      <c r="AB73" s="49" t="str">
        <f t="shared" si="220"/>
        <v>#N/A</v>
      </c>
      <c r="AC73" s="49" t="str">
        <f t="shared" si="220"/>
        <v>#N/A</v>
      </c>
      <c r="AF73" s="22"/>
      <c r="AG73" s="22"/>
      <c r="AH73" s="22"/>
      <c r="AI73" s="22"/>
      <c r="AJ73" s="22"/>
      <c r="AK73" s="23"/>
      <c r="AN73" s="24"/>
      <c r="AX73" s="25"/>
      <c r="BR73" s="25"/>
      <c r="CF73" s="27"/>
      <c r="CG73" s="27"/>
      <c r="CH73" s="27"/>
      <c r="CI73" s="27"/>
      <c r="CJ73" s="27"/>
      <c r="CK73" s="27"/>
    </row>
    <row r="74" ht="18.0" customHeight="1">
      <c r="A74" s="30" t="str">
        <f>Data2026!A78</f>
        <v>nightmarevc</v>
      </c>
      <c r="B74" s="9">
        <f>Data2026!B78</f>
        <v>46153</v>
      </c>
      <c r="C74" s="11" t="str">
        <f>Data2026!C78</f>
        <v>Fixed</v>
      </c>
      <c r="D74" s="12" t="str">
        <f>Data2026!D78</f>
        <v>nightmarevc</v>
      </c>
      <c r="E74" s="12" t="str">
        <f>Data2026!E78</f>
        <v>Nini_B</v>
      </c>
      <c r="F74" s="9">
        <f>Data2026!F78</f>
        <v>46153</v>
      </c>
      <c r="G74" s="70">
        <f>Data2026!G78</f>
        <v>1759.75</v>
      </c>
      <c r="H74" s="30" t="str">
        <f>Data2026!H78</f>
        <v>Finished</v>
      </c>
      <c r="I74" s="30" t="str">
        <f>Data2026!I78</f>
        <v>Influence</v>
      </c>
      <c r="J74" s="9">
        <f>Data2026!J78</f>
        <v>46167</v>
      </c>
      <c r="K74" s="9">
        <f>Data2026!K78</f>
        <v>46204</v>
      </c>
      <c r="L74" s="43">
        <f t="shared" si="2"/>
        <v>0</v>
      </c>
      <c r="M74" s="43">
        <f t="shared" si="3"/>
        <v>0</v>
      </c>
      <c r="N74" s="43">
        <f t="shared" si="4"/>
        <v>0</v>
      </c>
      <c r="O74" s="43">
        <f t="shared" si="5"/>
        <v>0</v>
      </c>
      <c r="P74" s="43">
        <f t="shared" si="6"/>
        <v>332.9256757</v>
      </c>
      <c r="Q74" s="43">
        <f t="shared" si="7"/>
        <v>1426.824324</v>
      </c>
      <c r="R74" s="49" t="str">
        <f t="shared" ref="R74:W74" si="221">SUMIF(Tableau!$A:$A,$A74,Tableau!E:E)</f>
        <v>#N/A</v>
      </c>
      <c r="S74" s="49" t="str">
        <f t="shared" si="221"/>
        <v>#N/A</v>
      </c>
      <c r="T74" s="49" t="str">
        <f t="shared" si="221"/>
        <v>#N/A</v>
      </c>
      <c r="U74" s="49" t="str">
        <f t="shared" si="221"/>
        <v>#N/A</v>
      </c>
      <c r="V74" s="49" t="str">
        <f t="shared" si="221"/>
        <v>#N/A</v>
      </c>
      <c r="W74" s="49" t="str">
        <f t="shared" si="221"/>
        <v>#N/A</v>
      </c>
      <c r="X74" s="49" t="str">
        <f t="shared" ref="X74:AC74" si="222">SUMIF(Tableau!$A:$A,$A74,Tableau!P:P)</f>
        <v>#N/A</v>
      </c>
      <c r="Y74" s="49" t="str">
        <f t="shared" si="222"/>
        <v>#N/A</v>
      </c>
      <c r="Z74" s="49" t="str">
        <f t="shared" si="222"/>
        <v>#N/A</v>
      </c>
      <c r="AA74" s="49" t="str">
        <f t="shared" si="222"/>
        <v>#N/A</v>
      </c>
      <c r="AB74" s="49" t="str">
        <f t="shared" si="222"/>
        <v>#N/A</v>
      </c>
      <c r="AC74" s="49" t="str">
        <f t="shared" si="222"/>
        <v>#N/A</v>
      </c>
      <c r="AF74" s="22"/>
      <c r="AG74" s="22"/>
      <c r="AH74" s="22"/>
      <c r="AI74" s="22"/>
      <c r="AJ74" s="22"/>
      <c r="AK74" s="23"/>
      <c r="AN74" s="24"/>
      <c r="AX74" s="25"/>
      <c r="BR74" s="25"/>
      <c r="CF74" s="27"/>
      <c r="CG74" s="27"/>
      <c r="CH74" s="27"/>
      <c r="CI74" s="27"/>
      <c r="CJ74" s="27"/>
      <c r="CK74" s="27"/>
    </row>
    <row r="75" ht="18.0" customHeight="1">
      <c r="A75" s="30" t="str">
        <f>Data2026!A79</f>
        <v>hstjorven</v>
      </c>
      <c r="B75" s="9">
        <f>Data2026!B79</f>
        <v>46153</v>
      </c>
      <c r="C75" s="11" t="str">
        <f>Data2026!C79</f>
        <v>Fixed</v>
      </c>
      <c r="D75" s="12" t="str">
        <f>Data2026!D79</f>
        <v>hstjorven</v>
      </c>
      <c r="E75" s="12" t="str">
        <f>Data2026!E79</f>
        <v>Nini_B</v>
      </c>
      <c r="F75" s="9">
        <f>Data2026!F79</f>
        <v>46153</v>
      </c>
      <c r="G75" s="70">
        <f>Data2026!G79</f>
        <v>1759.75</v>
      </c>
      <c r="H75" s="30" t="str">
        <f>Data2026!H79</f>
        <v>Finished</v>
      </c>
      <c r="I75" s="30" t="str">
        <f>Data2026!I79</f>
        <v>Influence</v>
      </c>
      <c r="J75" s="9">
        <f>Data2026!J79</f>
        <v>46167</v>
      </c>
      <c r="K75" s="9">
        <v>46173.0</v>
      </c>
      <c r="L75" s="43">
        <f t="shared" si="2"/>
        <v>0</v>
      </c>
      <c r="M75" s="43">
        <f t="shared" si="3"/>
        <v>0</v>
      </c>
      <c r="N75" s="43">
        <f t="shared" si="4"/>
        <v>0</v>
      </c>
      <c r="O75" s="43">
        <f t="shared" si="5"/>
        <v>0</v>
      </c>
      <c r="P75" s="43">
        <f t="shared" si="6"/>
        <v>1759.75</v>
      </c>
      <c r="Q75" s="43">
        <f t="shared" si="7"/>
        <v>0</v>
      </c>
      <c r="R75" s="49" t="str">
        <f t="shared" ref="R75:W75" si="223">SUMIF(Tableau!$A:$A,$A75,Tableau!E:E)</f>
        <v>#N/A</v>
      </c>
      <c r="S75" s="49" t="str">
        <f t="shared" si="223"/>
        <v>#N/A</v>
      </c>
      <c r="T75" s="49" t="str">
        <f t="shared" si="223"/>
        <v>#N/A</v>
      </c>
      <c r="U75" s="49" t="str">
        <f t="shared" si="223"/>
        <v>#N/A</v>
      </c>
      <c r="V75" s="49" t="str">
        <f t="shared" si="223"/>
        <v>#N/A</v>
      </c>
      <c r="W75" s="49" t="str">
        <f t="shared" si="223"/>
        <v>#N/A</v>
      </c>
      <c r="X75" s="49" t="str">
        <f t="shared" ref="X75:AC75" si="224">SUMIF(Tableau!$A:$A,$A75,Tableau!P:P)</f>
        <v>#N/A</v>
      </c>
      <c r="Y75" s="49" t="str">
        <f t="shared" si="224"/>
        <v>#N/A</v>
      </c>
      <c r="Z75" s="49" t="str">
        <f t="shared" si="224"/>
        <v>#N/A</v>
      </c>
      <c r="AA75" s="49" t="str">
        <f t="shared" si="224"/>
        <v>#N/A</v>
      </c>
      <c r="AB75" s="49" t="str">
        <f t="shared" si="224"/>
        <v>#N/A</v>
      </c>
      <c r="AC75" s="49" t="str">
        <f t="shared" si="224"/>
        <v>#N/A</v>
      </c>
      <c r="AF75" s="22"/>
      <c r="AG75" s="22"/>
      <c r="AH75" s="22"/>
      <c r="AI75" s="22"/>
      <c r="AJ75" s="22"/>
      <c r="AK75" s="23"/>
      <c r="AN75" s="24"/>
      <c r="AX75" s="25"/>
      <c r="BR75" s="25"/>
      <c r="CF75" s="27"/>
      <c r="CG75" s="27"/>
      <c r="CH75" s="27"/>
      <c r="CI75" s="27"/>
      <c r="CJ75" s="27"/>
      <c r="CK75" s="27"/>
    </row>
    <row r="76" ht="18.0" customHeight="1">
      <c r="A76" s="30" t="str">
        <f>Data2026!A80</f>
        <v>OnePartners</v>
      </c>
      <c r="B76" s="9">
        <f>Data2026!B80</f>
        <v>46156</v>
      </c>
      <c r="C76" s="11" t="str">
        <f>Data2026!C80</f>
        <v>Fixed</v>
      </c>
      <c r="D76" s="12" t="str">
        <f>Data2026!D80</f>
        <v>OnePartners</v>
      </c>
      <c r="E76" s="12" t="str">
        <f>Data2026!E80</f>
        <v>Elene_Gh</v>
      </c>
      <c r="F76" s="9">
        <f>Data2026!F80</f>
        <v>46156</v>
      </c>
      <c r="G76" s="112">
        <f>Data2026!G80</f>
        <v>1646.67</v>
      </c>
      <c r="H76" s="30" t="str">
        <f>Data2026!H80</f>
        <v>Finished</v>
      </c>
      <c r="I76" s="30" t="str">
        <f>Data2026!I80</f>
        <v>Meta</v>
      </c>
      <c r="J76" s="9">
        <f>Data2026!J80</f>
        <v>46111</v>
      </c>
      <c r="K76" s="9">
        <f>Data2026!K80</f>
        <v>46127</v>
      </c>
      <c r="L76" s="43">
        <f t="shared" si="2"/>
        <v>0</v>
      </c>
      <c r="M76" s="43">
        <f t="shared" si="3"/>
        <v>0</v>
      </c>
      <c r="N76" s="43">
        <f t="shared" si="4"/>
        <v>205.83375</v>
      </c>
      <c r="O76" s="43">
        <f t="shared" si="5"/>
        <v>1440.83625</v>
      </c>
      <c r="P76" s="43">
        <f t="shared" si="6"/>
        <v>0</v>
      </c>
      <c r="Q76" s="43">
        <f t="shared" si="7"/>
        <v>0</v>
      </c>
      <c r="R76" s="49" t="str">
        <f t="shared" ref="R76:W76" si="225">SUMIF(Tableau!$A:$A,$A76,Tableau!E:E)</f>
        <v>#N/A</v>
      </c>
      <c r="S76" s="49" t="str">
        <f t="shared" si="225"/>
        <v>#N/A</v>
      </c>
      <c r="T76" s="49" t="str">
        <f t="shared" si="225"/>
        <v>#N/A</v>
      </c>
      <c r="U76" s="49" t="str">
        <f t="shared" si="225"/>
        <v>#N/A</v>
      </c>
      <c r="V76" s="49" t="str">
        <f t="shared" si="225"/>
        <v>#N/A</v>
      </c>
      <c r="W76" s="49" t="str">
        <f t="shared" si="225"/>
        <v>#N/A</v>
      </c>
      <c r="X76" s="49" t="str">
        <f t="shared" ref="X76:AC76" si="226">SUMIF(Tableau!$A:$A,$A76,Tableau!P:P)</f>
        <v>#N/A</v>
      </c>
      <c r="Y76" s="49" t="str">
        <f t="shared" si="226"/>
        <v>#N/A</v>
      </c>
      <c r="Z76" s="49" t="str">
        <f t="shared" si="226"/>
        <v>#N/A</v>
      </c>
      <c r="AA76" s="49" t="str">
        <f t="shared" si="226"/>
        <v>#N/A</v>
      </c>
      <c r="AB76" s="49" t="str">
        <f t="shared" si="226"/>
        <v>#N/A</v>
      </c>
      <c r="AC76" s="49" t="str">
        <f t="shared" si="226"/>
        <v>#N/A</v>
      </c>
      <c r="AF76" s="22"/>
      <c r="AG76" s="22"/>
      <c r="AH76" s="22"/>
      <c r="AI76" s="22"/>
      <c r="AJ76" s="22"/>
      <c r="AK76" s="23"/>
      <c r="AN76" s="24"/>
      <c r="AX76" s="25"/>
      <c r="BR76" s="25"/>
      <c r="CF76" s="27"/>
      <c r="CG76" s="27"/>
      <c r="CH76" s="27"/>
      <c r="CI76" s="27"/>
      <c r="CJ76" s="27"/>
      <c r="CK76" s="27"/>
    </row>
    <row r="77" ht="18.0" customHeight="1">
      <c r="A77" s="30" t="str">
        <f>Data2026!A81</f>
        <v>OnePartners</v>
      </c>
      <c r="B77" s="9">
        <f>Data2026!B81</f>
        <v>46156</v>
      </c>
      <c r="C77" s="11" t="str">
        <f>Data2026!C81</f>
        <v>Fixed</v>
      </c>
      <c r="D77" s="12" t="str">
        <f>Data2026!D81</f>
        <v>OnePartners</v>
      </c>
      <c r="E77" s="12" t="str">
        <f>Data2026!E81</f>
        <v>Elene_Gh</v>
      </c>
      <c r="F77" s="9">
        <f>Data2026!F81</f>
        <v>46156</v>
      </c>
      <c r="G77" s="112">
        <f>Data2026!G81</f>
        <v>1646.67</v>
      </c>
      <c r="H77" s="30" t="str">
        <f>Data2026!H81</f>
        <v>Finished</v>
      </c>
      <c r="I77" s="30" t="str">
        <f>Data2026!I81</f>
        <v>Meta</v>
      </c>
      <c r="J77" s="9">
        <f>Data2026!J81</f>
        <v>46111</v>
      </c>
      <c r="K77" s="9">
        <f>Data2026!K81</f>
        <v>46127</v>
      </c>
      <c r="L77" s="43">
        <f t="shared" si="2"/>
        <v>0</v>
      </c>
      <c r="M77" s="43">
        <f t="shared" si="3"/>
        <v>0</v>
      </c>
      <c r="N77" s="43">
        <f t="shared" si="4"/>
        <v>205.83375</v>
      </c>
      <c r="O77" s="43">
        <f t="shared" si="5"/>
        <v>1440.83625</v>
      </c>
      <c r="P77" s="43">
        <f t="shared" si="6"/>
        <v>0</v>
      </c>
      <c r="Q77" s="43">
        <f t="shared" si="7"/>
        <v>0</v>
      </c>
      <c r="R77" s="49" t="str">
        <f t="shared" ref="R77:W77" si="227">SUMIF(Tableau!$A:$A,$A77,Tableau!E:E)</f>
        <v>#N/A</v>
      </c>
      <c r="S77" s="49" t="str">
        <f t="shared" si="227"/>
        <v>#N/A</v>
      </c>
      <c r="T77" s="49" t="str">
        <f t="shared" si="227"/>
        <v>#N/A</v>
      </c>
      <c r="U77" s="49" t="str">
        <f t="shared" si="227"/>
        <v>#N/A</v>
      </c>
      <c r="V77" s="49" t="str">
        <f t="shared" si="227"/>
        <v>#N/A</v>
      </c>
      <c r="W77" s="49" t="str">
        <f t="shared" si="227"/>
        <v>#N/A</v>
      </c>
      <c r="X77" s="49" t="str">
        <f t="shared" ref="X77:AA77" si="228">SUMIF(Tableau!$A:$A,$A77,Tableau!P:P)</f>
        <v>#N/A</v>
      </c>
      <c r="Y77" s="49" t="str">
        <f t="shared" si="228"/>
        <v>#N/A</v>
      </c>
      <c r="Z77" s="49" t="str">
        <f t="shared" si="228"/>
        <v>#N/A</v>
      </c>
      <c r="AA77" s="49" t="str">
        <f t="shared" si="228"/>
        <v>#N/A</v>
      </c>
      <c r="AF77" s="22"/>
      <c r="AG77" s="22"/>
      <c r="AH77" s="22"/>
      <c r="AI77" s="22"/>
      <c r="AJ77" s="22"/>
      <c r="AK77" s="23"/>
      <c r="AN77" s="24"/>
      <c r="AX77" s="25"/>
      <c r="BR77" s="25"/>
      <c r="CF77" s="27"/>
      <c r="CG77" s="27"/>
      <c r="CH77" s="27"/>
      <c r="CI77" s="27"/>
      <c r="CJ77" s="27"/>
      <c r="CK77" s="27"/>
    </row>
    <row r="78" ht="18.0" customHeight="1">
      <c r="A78" s="30" t="str">
        <f>Data2026!A82</f>
        <v>OnePartners</v>
      </c>
      <c r="B78" s="9">
        <f>Data2026!B82</f>
        <v>46156</v>
      </c>
      <c r="C78" s="11" t="str">
        <f>Data2026!C82</f>
        <v>Fixed</v>
      </c>
      <c r="D78" s="12" t="str">
        <f>Data2026!D82</f>
        <v>OnePartners</v>
      </c>
      <c r="E78" s="12" t="str">
        <f>Data2026!E82</f>
        <v>Elene_Gh</v>
      </c>
      <c r="F78" s="9">
        <f>Data2026!F82</f>
        <v>46156</v>
      </c>
      <c r="G78" s="112">
        <f>Data2026!G82</f>
        <v>1646.66</v>
      </c>
      <c r="H78" s="30" t="str">
        <f>Data2026!H82</f>
        <v>Finished</v>
      </c>
      <c r="I78" s="30" t="str">
        <f>Data2026!I82</f>
        <v>Meta</v>
      </c>
      <c r="J78" s="9">
        <f>Data2026!J82</f>
        <v>46111</v>
      </c>
      <c r="K78" s="9">
        <f>Data2026!K82</f>
        <v>46127</v>
      </c>
      <c r="L78" s="43">
        <f t="shared" si="2"/>
        <v>0</v>
      </c>
      <c r="M78" s="43">
        <f t="shared" si="3"/>
        <v>0</v>
      </c>
      <c r="N78" s="43">
        <f t="shared" si="4"/>
        <v>205.8325</v>
      </c>
      <c r="O78" s="43">
        <f t="shared" si="5"/>
        <v>1440.8275</v>
      </c>
      <c r="P78" s="43">
        <f t="shared" si="6"/>
        <v>0</v>
      </c>
      <c r="Q78" s="43">
        <f t="shared" si="7"/>
        <v>0</v>
      </c>
      <c r="R78" s="49" t="str">
        <f t="shared" ref="R78:T78" si="229">SUMIF(Tableau!$A:$A,$A78,Tableau!E:E)</f>
        <v>#N/A</v>
      </c>
      <c r="S78" s="49" t="str">
        <f t="shared" si="229"/>
        <v>#N/A</v>
      </c>
      <c r="T78" s="49" t="str">
        <f t="shared" si="229"/>
        <v>#N/A</v>
      </c>
      <c r="W78" s="49" t="str">
        <f>SUMIF(Tableau!$A:$A,$A78,Tableau!J:J)</f>
        <v>#N/A</v>
      </c>
      <c r="X78" s="49" t="str">
        <f t="shared" ref="X78:AA78" si="230">SUMIF(Tableau!$A:$A,$A78,Tableau!P:P)</f>
        <v>#N/A</v>
      </c>
      <c r="Y78" s="49" t="str">
        <f t="shared" si="230"/>
        <v>#N/A</v>
      </c>
      <c r="Z78" s="49" t="str">
        <f t="shared" si="230"/>
        <v>#N/A</v>
      </c>
      <c r="AA78" s="49" t="str">
        <f t="shared" si="230"/>
        <v>#N/A</v>
      </c>
      <c r="AF78" s="22"/>
      <c r="AG78" s="22"/>
      <c r="AH78" s="22"/>
      <c r="AI78" s="22"/>
      <c r="AJ78" s="22"/>
      <c r="AK78" s="23"/>
      <c r="AN78" s="24"/>
      <c r="AX78" s="25"/>
      <c r="BR78" s="25"/>
      <c r="CF78" s="27"/>
      <c r="CG78" s="27"/>
      <c r="CH78" s="27"/>
      <c r="CI78" s="27"/>
      <c r="CJ78" s="27"/>
      <c r="CK78" s="27"/>
    </row>
    <row r="79" ht="14.25" customHeight="1">
      <c r="A79" s="30" t="str">
        <f>Data2026!A83</f>
        <v>streamlinks</v>
      </c>
      <c r="B79" s="9">
        <f>Data2026!B83</f>
        <v>46156</v>
      </c>
      <c r="C79" s="11" t="str">
        <f>Data2026!C83</f>
        <v>Fixed</v>
      </c>
      <c r="D79" s="12" t="str">
        <f>Data2026!D83</f>
        <v>streamlinks</v>
      </c>
      <c r="E79" s="12" t="str">
        <f>Data2026!E83</f>
        <v>Elene_Gh</v>
      </c>
      <c r="F79" s="9">
        <f>Data2026!F83</f>
        <v>46156</v>
      </c>
      <c r="G79" s="112">
        <f>Data2026!G83</f>
        <v>1864.33</v>
      </c>
      <c r="H79" s="30" t="str">
        <f>Data2026!H83</f>
        <v>Finished</v>
      </c>
      <c r="I79" s="30" t="str">
        <f>Data2026!I83</f>
        <v>Influence</v>
      </c>
      <c r="J79" s="9">
        <f>Data2026!J83</f>
        <v>46162</v>
      </c>
      <c r="K79" s="9">
        <f>Data2026!K83</f>
        <v>46172</v>
      </c>
      <c r="L79" s="43">
        <f t="shared" si="2"/>
        <v>0</v>
      </c>
      <c r="M79" s="43">
        <f t="shared" si="3"/>
        <v>0</v>
      </c>
      <c r="N79" s="43">
        <f t="shared" si="4"/>
        <v>0</v>
      </c>
      <c r="O79" s="43">
        <f t="shared" si="5"/>
        <v>0</v>
      </c>
      <c r="P79" s="43">
        <f t="shared" si="6"/>
        <v>1864.33</v>
      </c>
      <c r="Q79" s="43">
        <f t="shared" si="7"/>
        <v>0</v>
      </c>
      <c r="R79" s="49" t="str">
        <f t="shared" ref="R79:W79" si="231">SUMIF(Tableau!$A:$A,$A79,Tableau!E:E)</f>
        <v>#N/A</v>
      </c>
      <c r="S79" s="49" t="str">
        <f t="shared" si="231"/>
        <v>#N/A</v>
      </c>
      <c r="T79" s="49" t="str">
        <f t="shared" si="231"/>
        <v>#N/A</v>
      </c>
      <c r="U79" s="49" t="str">
        <f t="shared" si="231"/>
        <v>#N/A</v>
      </c>
      <c r="V79" s="49" t="str">
        <f t="shared" si="231"/>
        <v>#N/A</v>
      </c>
      <c r="W79" s="49" t="str">
        <f t="shared" si="231"/>
        <v>#N/A</v>
      </c>
      <c r="X79" s="49" t="str">
        <f t="shared" ref="X79:AC79" si="232">SUMIF(Tableau!$A:$A,$A79,Tableau!P:P)</f>
        <v>#N/A</v>
      </c>
      <c r="Y79" s="49" t="str">
        <f t="shared" si="232"/>
        <v>#N/A</v>
      </c>
      <c r="Z79" s="49" t="str">
        <f t="shared" si="232"/>
        <v>#N/A</v>
      </c>
      <c r="AA79" s="49" t="str">
        <f t="shared" si="232"/>
        <v>#N/A</v>
      </c>
      <c r="AB79" s="49" t="str">
        <f t="shared" si="232"/>
        <v>#N/A</v>
      </c>
      <c r="AC79" s="49" t="str">
        <f t="shared" si="232"/>
        <v>#N/A</v>
      </c>
      <c r="AF79" s="22"/>
      <c r="AG79" s="22"/>
      <c r="AH79" s="22"/>
      <c r="AI79" s="22"/>
      <c r="AJ79" s="22"/>
      <c r="AK79" s="23"/>
      <c r="AN79" s="24"/>
      <c r="AX79" s="25"/>
      <c r="BR79" s="25"/>
      <c r="CF79" s="27"/>
      <c r="CG79" s="27"/>
      <c r="CH79" s="27"/>
      <c r="CI79" s="27"/>
      <c r="CJ79" s="27"/>
      <c r="CK79" s="27"/>
    </row>
    <row r="80" ht="14.25" customHeight="1">
      <c r="A80" s="30" t="str">
        <f>Data2026!A84</f>
        <v>lucas99mzn</v>
      </c>
      <c r="B80" s="9">
        <f>Data2026!B84</f>
        <v>46156</v>
      </c>
      <c r="C80" s="11" t="str">
        <f>Data2026!C84</f>
        <v>CPA</v>
      </c>
      <c r="D80" s="12" t="str">
        <f>Data2026!D84</f>
        <v>lucas99mzn</v>
      </c>
      <c r="E80" s="12" t="str">
        <f>Data2026!E84</f>
        <v>Giorgi_Ts</v>
      </c>
      <c r="F80" s="9">
        <f>Data2026!F84</f>
        <v>46156</v>
      </c>
      <c r="G80" s="112">
        <f>Data2026!G84</f>
        <v>1890</v>
      </c>
      <c r="H80" s="30" t="str">
        <f>Data2026!H84</f>
        <v>Finished</v>
      </c>
      <c r="I80" s="30" t="str">
        <f>Data2026!I84</f>
        <v>Tipster</v>
      </c>
      <c r="J80" s="9">
        <f>Data2026!J84</f>
        <v>46162</v>
      </c>
      <c r="K80" s="9">
        <f>Data2026!K84</f>
        <v>46172</v>
      </c>
      <c r="L80" s="43">
        <f t="shared" si="2"/>
        <v>0</v>
      </c>
      <c r="M80" s="43">
        <f t="shared" si="3"/>
        <v>0</v>
      </c>
      <c r="N80" s="43">
        <f t="shared" si="4"/>
        <v>0</v>
      </c>
      <c r="O80" s="43">
        <f t="shared" si="5"/>
        <v>0</v>
      </c>
      <c r="P80" s="43">
        <f t="shared" si="6"/>
        <v>1890</v>
      </c>
      <c r="Q80" s="43">
        <f t="shared" si="7"/>
        <v>0</v>
      </c>
      <c r="R80" s="49" t="str">
        <f t="shared" ref="R80:W80" si="233">SUMIF(Tableau!$A:$A,$A80,Tableau!E:E)</f>
        <v>#N/A</v>
      </c>
      <c r="S80" s="49" t="str">
        <f t="shared" si="233"/>
        <v>#N/A</v>
      </c>
      <c r="T80" s="49" t="str">
        <f t="shared" si="233"/>
        <v>#N/A</v>
      </c>
      <c r="U80" s="49" t="str">
        <f t="shared" si="233"/>
        <v>#N/A</v>
      </c>
      <c r="V80" s="49" t="str">
        <f t="shared" si="233"/>
        <v>#N/A</v>
      </c>
      <c r="W80" s="49" t="str">
        <f t="shared" si="233"/>
        <v>#N/A</v>
      </c>
      <c r="X80" s="49" t="str">
        <f t="shared" ref="X80:AC80" si="234">SUMIF(Tableau!$A:$A,$A80,Tableau!P:P)</f>
        <v>#N/A</v>
      </c>
      <c r="Y80" s="49" t="str">
        <f t="shared" si="234"/>
        <v>#N/A</v>
      </c>
      <c r="Z80" s="49" t="str">
        <f t="shared" si="234"/>
        <v>#N/A</v>
      </c>
      <c r="AA80" s="49" t="str">
        <f t="shared" si="234"/>
        <v>#N/A</v>
      </c>
      <c r="AB80" s="49" t="str">
        <f t="shared" si="234"/>
        <v>#N/A</v>
      </c>
      <c r="AC80" s="49" t="str">
        <f t="shared" si="234"/>
        <v>#N/A</v>
      </c>
      <c r="AF80" s="22"/>
      <c r="AG80" s="22"/>
      <c r="AH80" s="22"/>
      <c r="AI80" s="22"/>
      <c r="AJ80" s="22"/>
      <c r="AK80" s="23"/>
      <c r="AN80" s="24"/>
      <c r="AX80" s="25"/>
      <c r="BR80" s="25"/>
      <c r="CF80" s="27"/>
      <c r="CG80" s="27"/>
      <c r="CH80" s="27"/>
      <c r="CI80" s="27"/>
      <c r="CJ80" s="27"/>
      <c r="CK80" s="27"/>
    </row>
    <row r="81" ht="14.25" customHeight="1">
      <c r="A81" s="30" t="str">
        <f>Data2026!A85</f>
        <v>Protipster</v>
      </c>
      <c r="B81" s="9">
        <f>Data2026!B85</f>
        <v>46157</v>
      </c>
      <c r="C81" s="11" t="str">
        <f>Data2026!C85</f>
        <v>Fixed</v>
      </c>
      <c r="D81" s="12" t="str">
        <f>Data2026!D85</f>
        <v>Protipster</v>
      </c>
      <c r="E81" s="12" t="str">
        <f>Data2026!E85</f>
        <v>Ani_S</v>
      </c>
      <c r="F81" s="9">
        <f>Data2026!F85</f>
        <v>46157</v>
      </c>
      <c r="G81" s="112">
        <f>Data2026!G85</f>
        <v>2500</v>
      </c>
      <c r="H81" s="30" t="str">
        <f>Data2026!H85</f>
        <v>Finished</v>
      </c>
      <c r="I81" s="30" t="str">
        <f>Data2026!I85</f>
        <v>SEO</v>
      </c>
      <c r="J81" s="9">
        <f>Data2026!J85</f>
        <v>46157</v>
      </c>
      <c r="K81" s="9">
        <f>Data2026!K85</f>
        <v>46157</v>
      </c>
      <c r="L81" s="43">
        <f t="shared" si="2"/>
        <v>0</v>
      </c>
      <c r="M81" s="43">
        <f t="shared" si="3"/>
        <v>0</v>
      </c>
      <c r="N81" s="43">
        <f t="shared" si="4"/>
        <v>0</v>
      </c>
      <c r="O81" s="43">
        <f t="shared" si="5"/>
        <v>0</v>
      </c>
      <c r="P81" s="43">
        <f t="shared" si="6"/>
        <v>2500</v>
      </c>
      <c r="Q81" s="43">
        <f t="shared" si="7"/>
        <v>0</v>
      </c>
      <c r="R81" s="49" t="str">
        <f t="shared" ref="R81:W81" si="235">SUMIF(Tableau!$A:$A,$A81,Tableau!E:E)</f>
        <v>#N/A</v>
      </c>
      <c r="S81" s="49" t="str">
        <f t="shared" si="235"/>
        <v>#N/A</v>
      </c>
      <c r="T81" s="49" t="str">
        <f t="shared" si="235"/>
        <v>#N/A</v>
      </c>
      <c r="U81" s="49" t="str">
        <f t="shared" si="235"/>
        <v>#N/A</v>
      </c>
      <c r="V81" s="49" t="str">
        <f t="shared" si="235"/>
        <v>#N/A</v>
      </c>
      <c r="W81" s="49" t="str">
        <f t="shared" si="235"/>
        <v>#N/A</v>
      </c>
      <c r="X81" s="49" t="str">
        <f t="shared" ref="X81:AC81" si="236">SUMIF(Tableau!$A:$A,$A81,Tableau!P:P)</f>
        <v>#N/A</v>
      </c>
      <c r="Y81" s="49" t="str">
        <f t="shared" si="236"/>
        <v>#N/A</v>
      </c>
      <c r="Z81" s="49" t="str">
        <f t="shared" si="236"/>
        <v>#N/A</v>
      </c>
      <c r="AA81" s="49" t="str">
        <f t="shared" si="236"/>
        <v>#N/A</v>
      </c>
      <c r="AB81" s="49" t="str">
        <f t="shared" si="236"/>
        <v>#N/A</v>
      </c>
      <c r="AC81" s="49" t="str">
        <f t="shared" si="236"/>
        <v>#N/A</v>
      </c>
      <c r="AF81" s="22"/>
      <c r="AG81" s="22"/>
      <c r="AH81" s="22"/>
      <c r="AI81" s="22"/>
      <c r="AJ81" s="22"/>
      <c r="AK81" s="23"/>
      <c r="AN81" s="24"/>
      <c r="AX81" s="25"/>
      <c r="BR81" s="25"/>
      <c r="CF81" s="27"/>
      <c r="CG81" s="27"/>
      <c r="CH81" s="27"/>
      <c r="CI81" s="27"/>
      <c r="CJ81" s="27"/>
      <c r="CK81" s="27"/>
    </row>
    <row r="82" ht="14.25" customHeight="1">
      <c r="A82" s="30" t="str">
        <f>Data2026!A86</f>
        <v>jonbossparcerias</v>
      </c>
      <c r="B82" s="9">
        <f>Data2026!B86</f>
        <v>46157</v>
      </c>
      <c r="C82" s="11" t="str">
        <f>Data2026!C86</f>
        <v>Fixed</v>
      </c>
      <c r="D82" s="12" t="str">
        <f>Data2026!D86</f>
        <v>jonbossparcerias</v>
      </c>
      <c r="E82" s="12" t="str">
        <f>Data2026!E86</f>
        <v>Nini_B</v>
      </c>
      <c r="F82" s="9">
        <f>Data2026!F86</f>
        <v>46157</v>
      </c>
      <c r="G82" s="112">
        <f>Data2026!G86</f>
        <v>2125</v>
      </c>
      <c r="H82" s="30" t="str">
        <f>Data2026!H86</f>
        <v>Finished</v>
      </c>
      <c r="I82" s="30" t="str">
        <f>Data2026!I86</f>
        <v>Influence</v>
      </c>
      <c r="J82" s="9">
        <f>Data2026!J86</f>
        <v>46162</v>
      </c>
      <c r="K82" s="9">
        <f>Data2026!K86</f>
        <v>46157</v>
      </c>
      <c r="L82" s="43">
        <f t="shared" si="2"/>
        <v>0</v>
      </c>
      <c r="M82" s="43">
        <f t="shared" si="3"/>
        <v>0</v>
      </c>
      <c r="N82" s="43">
        <f t="shared" si="4"/>
        <v>0</v>
      </c>
      <c r="O82" s="43">
        <f t="shared" si="5"/>
        <v>0</v>
      </c>
      <c r="P82" s="43">
        <f t="shared" si="6"/>
        <v>2125</v>
      </c>
      <c r="Q82" s="43">
        <f t="shared" si="7"/>
        <v>0</v>
      </c>
      <c r="R82" s="49" t="str">
        <f t="shared" ref="R82:W82" si="237">SUMIF(Tableau!$A:$A,$A82,Tableau!E:E)</f>
        <v>#N/A</v>
      </c>
      <c r="S82" s="49" t="str">
        <f t="shared" si="237"/>
        <v>#N/A</v>
      </c>
      <c r="T82" s="49" t="str">
        <f t="shared" si="237"/>
        <v>#N/A</v>
      </c>
      <c r="U82" s="49" t="str">
        <f t="shared" si="237"/>
        <v>#N/A</v>
      </c>
      <c r="V82" s="49" t="str">
        <f t="shared" si="237"/>
        <v>#N/A</v>
      </c>
      <c r="W82" s="49" t="str">
        <f t="shared" si="237"/>
        <v>#N/A</v>
      </c>
      <c r="X82" s="49" t="str">
        <f t="shared" ref="X82:AC82" si="238">SUMIF(Tableau!$A:$A,$A82,Tableau!P:P)</f>
        <v>#N/A</v>
      </c>
      <c r="Y82" s="49" t="str">
        <f t="shared" si="238"/>
        <v>#N/A</v>
      </c>
      <c r="Z82" s="49" t="str">
        <f t="shared" si="238"/>
        <v>#N/A</v>
      </c>
      <c r="AA82" s="49" t="str">
        <f t="shared" si="238"/>
        <v>#N/A</v>
      </c>
      <c r="AB82" s="49" t="str">
        <f t="shared" si="238"/>
        <v>#N/A</v>
      </c>
      <c r="AC82" s="49" t="str">
        <f t="shared" si="238"/>
        <v>#N/A</v>
      </c>
      <c r="AF82" s="22"/>
      <c r="AG82" s="22"/>
      <c r="AH82" s="22"/>
      <c r="AI82" s="22"/>
      <c r="AJ82" s="22"/>
      <c r="AK82" s="23"/>
      <c r="AN82" s="24"/>
      <c r="AX82" s="25"/>
      <c r="BR82" s="25"/>
      <c r="CF82" s="27"/>
      <c r="CG82" s="27"/>
      <c r="CH82" s="27"/>
      <c r="CI82" s="27"/>
      <c r="CJ82" s="27"/>
      <c r="CK82" s="27"/>
    </row>
    <row r="83" ht="14.25" customHeight="1">
      <c r="A83" s="30" t="str">
        <f>Data2026!A87</f>
        <v>egamer</v>
      </c>
      <c r="B83" s="9">
        <f>Data2026!B87</f>
        <v>46169</v>
      </c>
      <c r="C83" s="11" t="str">
        <f>Data2026!C87</f>
        <v>Fixed</v>
      </c>
      <c r="D83" s="12" t="str">
        <f>Data2026!D87</f>
        <v>egamer</v>
      </c>
      <c r="E83" s="12" t="str">
        <f>Data2026!E87</f>
        <v>Elene_Gh</v>
      </c>
      <c r="F83" s="9">
        <f>Data2026!F87</f>
        <v>46169</v>
      </c>
      <c r="G83" s="112">
        <f>Data2026!G87</f>
        <v>1544.65</v>
      </c>
      <c r="H83" s="30" t="str">
        <f>Data2026!H87</f>
        <v>Finished</v>
      </c>
      <c r="I83" s="30" t="str">
        <f>Data2026!I87</f>
        <v>SEO</v>
      </c>
      <c r="J83" s="9">
        <f>Data2026!J87</f>
        <v>46174</v>
      </c>
      <c r="K83" s="9">
        <f>Data2026!K87</f>
        <v>46203</v>
      </c>
      <c r="L83" s="43">
        <f t="shared" si="2"/>
        <v>0</v>
      </c>
      <c r="M83" s="43">
        <f t="shared" si="3"/>
        <v>0</v>
      </c>
      <c r="N83" s="43">
        <f t="shared" si="4"/>
        <v>0</v>
      </c>
      <c r="O83" s="43">
        <f t="shared" si="5"/>
        <v>0</v>
      </c>
      <c r="P83" s="43">
        <f t="shared" si="6"/>
        <v>0</v>
      </c>
      <c r="Q83" s="43">
        <f t="shared" si="7"/>
        <v>1544.65</v>
      </c>
      <c r="R83" s="49" t="str">
        <f t="shared" ref="R83:W83" si="239">SUMIF(Tableau!$A:$A,$A83,Tableau!E:E)</f>
        <v>#N/A</v>
      </c>
      <c r="S83" s="49" t="str">
        <f t="shared" si="239"/>
        <v>#N/A</v>
      </c>
      <c r="T83" s="49" t="str">
        <f t="shared" si="239"/>
        <v>#N/A</v>
      </c>
      <c r="U83" s="49" t="str">
        <f t="shared" si="239"/>
        <v>#N/A</v>
      </c>
      <c r="V83" s="49" t="str">
        <f t="shared" si="239"/>
        <v>#N/A</v>
      </c>
      <c r="W83" s="49" t="str">
        <f t="shared" si="239"/>
        <v>#N/A</v>
      </c>
      <c r="X83" s="49" t="str">
        <f t="shared" ref="X83:AC83" si="240">SUMIF(Tableau!$A:$A,$A83,Tableau!P:P)</f>
        <v>#N/A</v>
      </c>
      <c r="Y83" s="49" t="str">
        <f t="shared" si="240"/>
        <v>#N/A</v>
      </c>
      <c r="Z83" s="49" t="str">
        <f t="shared" si="240"/>
        <v>#N/A</v>
      </c>
      <c r="AA83" s="49" t="str">
        <f t="shared" si="240"/>
        <v>#N/A</v>
      </c>
      <c r="AB83" s="49" t="str">
        <f t="shared" si="240"/>
        <v>#N/A</v>
      </c>
      <c r="AC83" s="49" t="str">
        <f t="shared" si="240"/>
        <v>#N/A</v>
      </c>
      <c r="AF83" s="22"/>
      <c r="AG83" s="22"/>
      <c r="AH83" s="22"/>
      <c r="AI83" s="22"/>
      <c r="AJ83" s="22"/>
      <c r="AK83" s="23"/>
      <c r="AN83" s="24"/>
      <c r="AX83" s="25"/>
      <c r="BR83" s="25"/>
      <c r="CF83" s="27"/>
      <c r="CG83" s="27"/>
      <c r="CH83" s="27"/>
      <c r="CI83" s="27"/>
      <c r="CJ83" s="27"/>
      <c r="CK83" s="27"/>
    </row>
    <row r="84" ht="14.25" customHeight="1">
      <c r="A84" s="30" t="str">
        <f>Data2026!A88</f>
        <v>mediadoro1</v>
      </c>
      <c r="B84" s="9">
        <f>Data2026!B88</f>
        <v>46169</v>
      </c>
      <c r="C84" s="11" t="str">
        <f>Data2026!C88</f>
        <v>Fixed</v>
      </c>
      <c r="D84" s="12" t="str">
        <f>Data2026!D88</f>
        <v>mediadoro1</v>
      </c>
      <c r="E84" s="12" t="str">
        <f>Data2026!E88</f>
        <v>Nini_B</v>
      </c>
      <c r="F84" s="9">
        <f>Data2026!F88</f>
        <v>46169</v>
      </c>
      <c r="G84" s="112">
        <f>Data2026!G88</f>
        <v>3500</v>
      </c>
      <c r="H84" s="30" t="str">
        <f>Data2026!H88</f>
        <v>Finished</v>
      </c>
      <c r="I84" s="30" t="str">
        <f>Data2026!I88</f>
        <v>SEO</v>
      </c>
      <c r="J84" s="9">
        <f>Data2026!J88</f>
        <v>46174</v>
      </c>
      <c r="K84" s="9">
        <f>Data2026!K88</f>
        <v>46203</v>
      </c>
      <c r="L84" s="43">
        <f t="shared" si="2"/>
        <v>0</v>
      </c>
      <c r="M84" s="43">
        <f t="shared" si="3"/>
        <v>0</v>
      </c>
      <c r="N84" s="43">
        <f t="shared" si="4"/>
        <v>0</v>
      </c>
      <c r="O84" s="43">
        <f t="shared" si="5"/>
        <v>0</v>
      </c>
      <c r="P84" s="43">
        <f t="shared" si="6"/>
        <v>0</v>
      </c>
      <c r="Q84" s="43">
        <f t="shared" si="7"/>
        <v>3500</v>
      </c>
      <c r="R84" s="49" t="str">
        <f t="shared" ref="R84:W84" si="241">SUMIF(Tableau!$A:$A,$A84,Tableau!E:E)</f>
        <v>#N/A</v>
      </c>
      <c r="S84" s="49" t="str">
        <f t="shared" si="241"/>
        <v>#N/A</v>
      </c>
      <c r="T84" s="49" t="str">
        <f t="shared" si="241"/>
        <v>#N/A</v>
      </c>
      <c r="U84" s="49" t="str">
        <f t="shared" si="241"/>
        <v>#N/A</v>
      </c>
      <c r="V84" s="49" t="str">
        <f t="shared" si="241"/>
        <v>#N/A</v>
      </c>
      <c r="W84" s="49" t="str">
        <f t="shared" si="241"/>
        <v>#N/A</v>
      </c>
      <c r="X84" s="49" t="str">
        <f t="shared" ref="X84:AC84" si="242">SUMIF(Tableau!$A:$A,$A84,Tableau!P:P)</f>
        <v>#N/A</v>
      </c>
      <c r="Y84" s="49" t="str">
        <f t="shared" si="242"/>
        <v>#N/A</v>
      </c>
      <c r="Z84" s="49" t="str">
        <f t="shared" si="242"/>
        <v>#N/A</v>
      </c>
      <c r="AA84" s="49" t="str">
        <f t="shared" si="242"/>
        <v>#N/A</v>
      </c>
      <c r="AB84" s="49" t="str">
        <f t="shared" si="242"/>
        <v>#N/A</v>
      </c>
      <c r="AC84" s="49" t="str">
        <f t="shared" si="242"/>
        <v>#N/A</v>
      </c>
      <c r="AF84" s="22"/>
      <c r="AG84" s="22"/>
      <c r="AH84" s="22"/>
      <c r="AI84" s="22"/>
      <c r="AJ84" s="22"/>
      <c r="AK84" s="23"/>
      <c r="AN84" s="24"/>
      <c r="AX84" s="25"/>
      <c r="BR84" s="25"/>
      <c r="CF84" s="27"/>
      <c r="CG84" s="27"/>
      <c r="CH84" s="27"/>
      <c r="CI84" s="27"/>
      <c r="CJ84" s="27"/>
      <c r="CK84" s="27"/>
    </row>
    <row r="85" ht="14.25" customHeight="1">
      <c r="A85" s="30" t="str">
        <f>Data2026!A89</f>
        <v>biglouinthestu</v>
      </c>
      <c r="B85" s="9">
        <f>Data2026!B89</f>
        <v>46174</v>
      </c>
      <c r="C85" s="11" t="str">
        <f>Data2026!C89</f>
        <v>Fixed</v>
      </c>
      <c r="D85" s="12" t="str">
        <f>Data2026!D89</f>
        <v>biglouinthestu</v>
      </c>
      <c r="E85" s="12" t="str">
        <f>Data2026!E89</f>
        <v>Elene_Gh</v>
      </c>
      <c r="F85" s="9">
        <f>Data2026!F89</f>
        <v>46174</v>
      </c>
      <c r="G85" s="112">
        <f>Data2026!G89</f>
        <v>687.07</v>
      </c>
      <c r="H85" s="30" t="str">
        <f>Data2026!H89</f>
        <v>Finished</v>
      </c>
      <c r="I85" s="30" t="str">
        <f>Data2026!I89</f>
        <v>Influence</v>
      </c>
      <c r="J85" s="9">
        <f>Data2026!J89</f>
        <v>46174</v>
      </c>
      <c r="K85" s="9">
        <f>Data2026!K89</f>
        <v>46203</v>
      </c>
      <c r="L85" s="43">
        <f t="shared" si="2"/>
        <v>0</v>
      </c>
      <c r="M85" s="43">
        <f t="shared" si="3"/>
        <v>0</v>
      </c>
      <c r="N85" s="43">
        <f t="shared" si="4"/>
        <v>0</v>
      </c>
      <c r="O85" s="43">
        <f t="shared" si="5"/>
        <v>0</v>
      </c>
      <c r="P85" s="43">
        <f t="shared" si="6"/>
        <v>0</v>
      </c>
      <c r="Q85" s="43">
        <f t="shared" si="7"/>
        <v>687.07</v>
      </c>
      <c r="R85" s="49" t="str">
        <f t="shared" ref="R85:W85" si="243">SUMIF(Tableau!$A:$A,$A85,Tableau!E:E)</f>
        <v>#N/A</v>
      </c>
      <c r="S85" s="49" t="str">
        <f t="shared" si="243"/>
        <v>#N/A</v>
      </c>
      <c r="T85" s="49" t="str">
        <f t="shared" si="243"/>
        <v>#N/A</v>
      </c>
      <c r="U85" s="49" t="str">
        <f t="shared" si="243"/>
        <v>#N/A</v>
      </c>
      <c r="V85" s="49" t="str">
        <f t="shared" si="243"/>
        <v>#N/A</v>
      </c>
      <c r="W85" s="49" t="str">
        <f t="shared" si="243"/>
        <v>#N/A</v>
      </c>
      <c r="X85" s="49" t="str">
        <f t="shared" ref="X85:AC85" si="244">SUMIF(Tableau!$A:$A,$A85,Tableau!P:P)</f>
        <v>#N/A</v>
      </c>
      <c r="Y85" s="49" t="str">
        <f t="shared" si="244"/>
        <v>#N/A</v>
      </c>
      <c r="Z85" s="49" t="str">
        <f t="shared" si="244"/>
        <v>#N/A</v>
      </c>
      <c r="AA85" s="49" t="str">
        <f t="shared" si="244"/>
        <v>#N/A</v>
      </c>
      <c r="AB85" s="49" t="str">
        <f t="shared" si="244"/>
        <v>#N/A</v>
      </c>
      <c r="AC85" s="49" t="str">
        <f t="shared" si="244"/>
        <v>#N/A</v>
      </c>
      <c r="AF85" s="22"/>
      <c r="AG85" s="22"/>
      <c r="AH85" s="22"/>
      <c r="AI85" s="22"/>
      <c r="AJ85" s="22"/>
      <c r="AK85" s="23"/>
      <c r="AN85" s="24"/>
      <c r="AX85" s="25"/>
      <c r="BR85" s="25"/>
      <c r="CF85" s="27"/>
      <c r="CG85" s="27"/>
      <c r="CH85" s="27"/>
      <c r="CI85" s="27"/>
      <c r="CJ85" s="27"/>
      <c r="CK85" s="27"/>
    </row>
    <row r="86" ht="14.25" customHeight="1">
      <c r="A86" s="30" t="str">
        <f>Data2026!A90</f>
        <v>Timba</v>
      </c>
      <c r="B86" s="9">
        <f>Data2026!B90</f>
        <v>46175</v>
      </c>
      <c r="C86" s="11" t="str">
        <f>Data2026!C90</f>
        <v>Fixed</v>
      </c>
      <c r="D86" s="12" t="str">
        <f>Data2026!D90</f>
        <v>Timba</v>
      </c>
      <c r="E86" s="12" t="str">
        <f>Data2026!E90</f>
        <v>Elene_Gh</v>
      </c>
      <c r="F86" s="9">
        <f>Data2026!F90</f>
        <v>46175</v>
      </c>
      <c r="G86" s="112">
        <f>Data2026!G90</f>
        <v>2189.06</v>
      </c>
      <c r="H86" s="30" t="str">
        <f>Data2026!H90</f>
        <v>Finished</v>
      </c>
      <c r="I86" s="30" t="str">
        <f>Data2026!I90</f>
        <v>Influence</v>
      </c>
      <c r="J86" s="9">
        <f>Data2026!J90</f>
        <v>46174</v>
      </c>
      <c r="K86" s="9">
        <f>Data2026!K90</f>
        <v>46203</v>
      </c>
      <c r="L86" s="43">
        <f t="shared" si="2"/>
        <v>0</v>
      </c>
      <c r="M86" s="43">
        <f t="shared" si="3"/>
        <v>0</v>
      </c>
      <c r="N86" s="43">
        <f t="shared" si="4"/>
        <v>0</v>
      </c>
      <c r="O86" s="43">
        <f t="shared" si="5"/>
        <v>0</v>
      </c>
      <c r="P86" s="43">
        <f t="shared" si="6"/>
        <v>0</v>
      </c>
      <c r="Q86" s="43">
        <f t="shared" si="7"/>
        <v>2189.06</v>
      </c>
      <c r="R86" s="49" t="str">
        <f t="shared" ref="R86:W86" si="245">SUMIF(Tableau!$A:$A,$A86,Tableau!E:E)</f>
        <v>#N/A</v>
      </c>
      <c r="S86" s="49" t="str">
        <f t="shared" si="245"/>
        <v>#N/A</v>
      </c>
      <c r="T86" s="49" t="str">
        <f t="shared" si="245"/>
        <v>#N/A</v>
      </c>
      <c r="U86" s="49" t="str">
        <f t="shared" si="245"/>
        <v>#N/A</v>
      </c>
      <c r="V86" s="49" t="str">
        <f t="shared" si="245"/>
        <v>#N/A</v>
      </c>
      <c r="W86" s="49" t="str">
        <f t="shared" si="245"/>
        <v>#N/A</v>
      </c>
      <c r="X86" s="49" t="str">
        <f t="shared" ref="X86:AC86" si="246">SUMIF(Tableau!$A:$A,$A86,Tableau!P:P)</f>
        <v>#N/A</v>
      </c>
      <c r="Y86" s="49" t="str">
        <f t="shared" si="246"/>
        <v>#N/A</v>
      </c>
      <c r="Z86" s="49" t="str">
        <f t="shared" si="246"/>
        <v>#N/A</v>
      </c>
      <c r="AA86" s="49" t="str">
        <f t="shared" si="246"/>
        <v>#N/A</v>
      </c>
      <c r="AB86" s="49" t="str">
        <f t="shared" si="246"/>
        <v>#N/A</v>
      </c>
      <c r="AC86" s="49" t="str">
        <f t="shared" si="246"/>
        <v>#N/A</v>
      </c>
      <c r="AF86" s="22"/>
      <c r="AG86" s="22"/>
      <c r="AH86" s="22"/>
      <c r="AI86" s="22"/>
      <c r="AJ86" s="22"/>
      <c r="AK86" s="23"/>
      <c r="AN86" s="24"/>
      <c r="AX86" s="25"/>
      <c r="BR86" s="25"/>
      <c r="CF86" s="27"/>
      <c r="CG86" s="27"/>
      <c r="CH86" s="27"/>
      <c r="CI86" s="27"/>
      <c r="CJ86" s="27"/>
      <c r="CK86" s="27"/>
    </row>
    <row r="87" ht="14.25" customHeight="1">
      <c r="A87" s="30" t="str">
        <f>Data2026!A91</f>
        <v>Baldu</v>
      </c>
      <c r="B87" s="9">
        <f>Data2026!B91</f>
        <v>46175</v>
      </c>
      <c r="C87" s="11" t="str">
        <f>Data2026!C91</f>
        <v>Fixed</v>
      </c>
      <c r="D87" s="12" t="str">
        <f>Data2026!D91</f>
        <v>Baldu</v>
      </c>
      <c r="E87" s="12" t="str">
        <f>Data2026!E91</f>
        <v>Ani_S</v>
      </c>
      <c r="F87" s="9">
        <f>Data2026!F91</f>
        <v>46175</v>
      </c>
      <c r="G87" s="112">
        <f>Data2026!G91</f>
        <v>686.9</v>
      </c>
      <c r="H87" s="30" t="str">
        <f>Data2026!H91</f>
        <v>Scammer</v>
      </c>
      <c r="I87" s="30" t="str">
        <f>Data2026!I91</f>
        <v>Influence</v>
      </c>
      <c r="J87" s="9">
        <f>Data2026!J91</f>
        <v>46174</v>
      </c>
      <c r="K87" s="9">
        <f>Data2026!K91</f>
        <v>46203</v>
      </c>
      <c r="L87" s="43">
        <f t="shared" si="2"/>
        <v>0</v>
      </c>
      <c r="M87" s="43">
        <f t="shared" si="3"/>
        <v>0</v>
      </c>
      <c r="N87" s="43">
        <f t="shared" si="4"/>
        <v>0</v>
      </c>
      <c r="O87" s="43">
        <f t="shared" si="5"/>
        <v>0</v>
      </c>
      <c r="P87" s="43">
        <f t="shared" si="6"/>
        <v>0</v>
      </c>
      <c r="Q87" s="43">
        <f t="shared" si="7"/>
        <v>686.9</v>
      </c>
      <c r="R87" s="49" t="str">
        <f t="shared" ref="R87:W87" si="247">SUMIF(Tableau!$A:$A,$A87,Tableau!E:E)</f>
        <v>#N/A</v>
      </c>
      <c r="S87" s="49" t="str">
        <f t="shared" si="247"/>
        <v>#N/A</v>
      </c>
      <c r="T87" s="49" t="str">
        <f t="shared" si="247"/>
        <v>#N/A</v>
      </c>
      <c r="U87" s="49" t="str">
        <f t="shared" si="247"/>
        <v>#N/A</v>
      </c>
      <c r="V87" s="49" t="str">
        <f t="shared" si="247"/>
        <v>#N/A</v>
      </c>
      <c r="W87" s="49" t="str">
        <f t="shared" si="247"/>
        <v>#N/A</v>
      </c>
      <c r="X87" s="49" t="str">
        <f t="shared" ref="X87:AC87" si="248">SUMIF(Tableau!$A:$A,$A87,Tableau!P:P)</f>
        <v>#N/A</v>
      </c>
      <c r="Y87" s="49" t="str">
        <f t="shared" si="248"/>
        <v>#N/A</v>
      </c>
      <c r="Z87" s="49" t="str">
        <f t="shared" si="248"/>
        <v>#N/A</v>
      </c>
      <c r="AA87" s="49" t="str">
        <f t="shared" si="248"/>
        <v>#N/A</v>
      </c>
      <c r="AB87" s="49" t="str">
        <f t="shared" si="248"/>
        <v>#N/A</v>
      </c>
      <c r="AC87" s="49" t="str">
        <f t="shared" si="248"/>
        <v>#N/A</v>
      </c>
      <c r="AF87" s="22"/>
      <c r="AG87" s="22"/>
      <c r="AH87" s="22"/>
      <c r="AI87" s="22"/>
      <c r="AJ87" s="22"/>
      <c r="AK87" s="23"/>
      <c r="AN87" s="24"/>
      <c r="AX87" s="25"/>
      <c r="BR87" s="25"/>
      <c r="CF87" s="27"/>
      <c r="CG87" s="27"/>
      <c r="CH87" s="27"/>
      <c r="CI87" s="27"/>
      <c r="CJ87" s="27"/>
      <c r="CK87" s="27"/>
    </row>
    <row r="88" ht="14.25" customHeight="1">
      <c r="A88" s="30" t="str">
        <f>Data2026!A92</f>
        <v>Emaaslots</v>
      </c>
      <c r="B88" s="9">
        <f>Data2026!B92</f>
        <v>46175</v>
      </c>
      <c r="C88" s="11" t="str">
        <f>Data2026!C92</f>
        <v>Fixed</v>
      </c>
      <c r="D88" s="12" t="str">
        <f>Data2026!D92</f>
        <v>Emaaslots</v>
      </c>
      <c r="E88" s="12" t="str">
        <f>Data2026!E92</f>
        <v>Elene_Gh</v>
      </c>
      <c r="F88" s="9">
        <f>Data2026!F92</f>
        <v>46175</v>
      </c>
      <c r="G88" s="112">
        <f>Data2026!G92</f>
        <v>429.35</v>
      </c>
      <c r="H88" s="30" t="str">
        <f>Data2026!H92</f>
        <v>Finished</v>
      </c>
      <c r="I88" s="30" t="str">
        <f>Data2026!I92</f>
        <v>Influence</v>
      </c>
      <c r="J88" s="9">
        <f>Data2026!J92</f>
        <v>46174</v>
      </c>
      <c r="K88" s="9">
        <f>Data2026!K92</f>
        <v>46203</v>
      </c>
      <c r="L88" s="43">
        <f t="shared" si="2"/>
        <v>0</v>
      </c>
      <c r="M88" s="43">
        <f t="shared" si="3"/>
        <v>0</v>
      </c>
      <c r="N88" s="43">
        <f t="shared" si="4"/>
        <v>0</v>
      </c>
      <c r="O88" s="43">
        <f t="shared" si="5"/>
        <v>0</v>
      </c>
      <c r="P88" s="43">
        <f t="shared" si="6"/>
        <v>0</v>
      </c>
      <c r="Q88" s="43">
        <f t="shared" si="7"/>
        <v>429.35</v>
      </c>
      <c r="R88" s="49" t="str">
        <f t="shared" ref="R88:W88" si="249">SUMIF(Tableau!$A:$A,$A88,Tableau!E:E)</f>
        <v>#N/A</v>
      </c>
      <c r="S88" s="49" t="str">
        <f t="shared" si="249"/>
        <v>#N/A</v>
      </c>
      <c r="T88" s="49" t="str">
        <f t="shared" si="249"/>
        <v>#N/A</v>
      </c>
      <c r="U88" s="49" t="str">
        <f t="shared" si="249"/>
        <v>#N/A</v>
      </c>
      <c r="V88" s="49" t="str">
        <f t="shared" si="249"/>
        <v>#N/A</v>
      </c>
      <c r="W88" s="49" t="str">
        <f t="shared" si="249"/>
        <v>#N/A</v>
      </c>
      <c r="X88" s="49" t="str">
        <f t="shared" ref="X88:AC88" si="250">SUMIF(Tableau!$A:$A,$A88,Tableau!P:P)</f>
        <v>#N/A</v>
      </c>
      <c r="Y88" s="49" t="str">
        <f t="shared" si="250"/>
        <v>#N/A</v>
      </c>
      <c r="Z88" s="49" t="str">
        <f t="shared" si="250"/>
        <v>#N/A</v>
      </c>
      <c r="AA88" s="49" t="str">
        <f t="shared" si="250"/>
        <v>#N/A</v>
      </c>
      <c r="AB88" s="49" t="str">
        <f t="shared" si="250"/>
        <v>#N/A</v>
      </c>
      <c r="AC88" s="49" t="str">
        <f t="shared" si="250"/>
        <v>#N/A</v>
      </c>
      <c r="AF88" s="22"/>
      <c r="AG88" s="22"/>
      <c r="AH88" s="22"/>
      <c r="AI88" s="22"/>
      <c r="AJ88" s="22"/>
      <c r="AK88" s="23"/>
      <c r="AN88" s="24"/>
      <c r="AX88" s="25"/>
      <c r="BR88" s="25"/>
      <c r="CF88" s="27"/>
      <c r="CG88" s="27"/>
      <c r="CH88" s="27"/>
      <c r="CI88" s="27"/>
      <c r="CJ88" s="27"/>
      <c r="CK88" s="27"/>
    </row>
    <row r="89" ht="14.25" customHeight="1">
      <c r="A89" s="30" t="str">
        <f>Data2026!A93</f>
        <v>MasterAffNetwork7640</v>
      </c>
      <c r="B89" s="9">
        <f>Data2026!B93</f>
        <v>46176</v>
      </c>
      <c r="C89" s="11" t="str">
        <f>Data2026!C93</f>
        <v>Fixed</v>
      </c>
      <c r="D89" s="12" t="str">
        <f>Data2026!D93</f>
        <v>MasterAffNetwork7640</v>
      </c>
      <c r="E89" s="12" t="str">
        <f>Data2026!E93</f>
        <v>Elene_Gh</v>
      </c>
      <c r="F89" s="9">
        <f>Data2026!F93</f>
        <v>46176</v>
      </c>
      <c r="G89" s="11">
        <f>Data2026!G93</f>
        <v>-1.15</v>
      </c>
      <c r="H89" s="30" t="str">
        <f>Data2026!H93</f>
        <v>Finished</v>
      </c>
      <c r="I89" s="30" t="str">
        <f>Data2026!I93</f>
        <v>Influence</v>
      </c>
      <c r="J89" s="9">
        <f>Data2026!J93</f>
        <v>46174</v>
      </c>
      <c r="K89" s="9">
        <f>Data2026!K93</f>
        <v>46203</v>
      </c>
      <c r="L89" s="43">
        <f t="shared" si="2"/>
        <v>0</v>
      </c>
      <c r="M89" s="43">
        <f t="shared" si="3"/>
        <v>0</v>
      </c>
      <c r="N89" s="43">
        <f t="shared" si="4"/>
        <v>0</v>
      </c>
      <c r="O89" s="43">
        <f t="shared" si="5"/>
        <v>0</v>
      </c>
      <c r="P89" s="43">
        <f t="shared" si="6"/>
        <v>0</v>
      </c>
      <c r="Q89" s="43">
        <f t="shared" si="7"/>
        <v>-1.15</v>
      </c>
      <c r="R89" s="49" t="str">
        <f t="shared" ref="R89:W89" si="251">SUMIF(Tableau!$A:$A,$A89,Tableau!E:E)</f>
        <v>#N/A</v>
      </c>
      <c r="S89" s="49" t="str">
        <f t="shared" si="251"/>
        <v>#N/A</v>
      </c>
      <c r="T89" s="49" t="str">
        <f t="shared" si="251"/>
        <v>#N/A</v>
      </c>
      <c r="U89" s="49" t="str">
        <f t="shared" si="251"/>
        <v>#N/A</v>
      </c>
      <c r="V89" s="49" t="str">
        <f t="shared" si="251"/>
        <v>#N/A</v>
      </c>
      <c r="W89" s="49" t="str">
        <f t="shared" si="251"/>
        <v>#N/A</v>
      </c>
      <c r="X89" s="49" t="str">
        <f t="shared" ref="X89:AC89" si="252">SUMIF(Tableau!$A:$A,$A89,Tableau!P:P)</f>
        <v>#N/A</v>
      </c>
      <c r="Y89" s="49" t="str">
        <f t="shared" si="252"/>
        <v>#N/A</v>
      </c>
      <c r="Z89" s="49" t="str">
        <f t="shared" si="252"/>
        <v>#N/A</v>
      </c>
      <c r="AA89" s="49" t="str">
        <f t="shared" si="252"/>
        <v>#N/A</v>
      </c>
      <c r="AB89" s="49" t="str">
        <f t="shared" si="252"/>
        <v>#N/A</v>
      </c>
      <c r="AC89" s="49" t="str">
        <f t="shared" si="252"/>
        <v>#N/A</v>
      </c>
      <c r="AF89" s="22"/>
      <c r="AG89" s="22"/>
      <c r="AH89" s="22"/>
      <c r="AI89" s="22"/>
      <c r="AJ89" s="22"/>
      <c r="AK89" s="23"/>
      <c r="AN89" s="24"/>
      <c r="AX89" s="25"/>
      <c r="BR89" s="25"/>
      <c r="CF89" s="27"/>
      <c r="CG89" s="27"/>
      <c r="CH89" s="27"/>
      <c r="CI89" s="27"/>
      <c r="CJ89" s="27"/>
      <c r="CK89" s="27"/>
    </row>
    <row r="90" ht="14.25" customHeight="1">
      <c r="A90" s="30" t="str">
        <f>Data2026!A94</f>
        <v>thelootcompany</v>
      </c>
      <c r="B90" s="9">
        <f>Data2026!B94</f>
        <v>46176</v>
      </c>
      <c r="C90" s="11" t="str">
        <f>Data2026!C94</f>
        <v>Fixed</v>
      </c>
      <c r="D90" s="12" t="str">
        <f>Data2026!D94</f>
        <v>thelootcompany</v>
      </c>
      <c r="E90" s="12" t="str">
        <f>Data2026!E94</f>
        <v>Ani_S</v>
      </c>
      <c r="F90" s="9">
        <f>Data2026!F94</f>
        <v>46176</v>
      </c>
      <c r="G90" s="112">
        <f>Data2026!G94</f>
        <v>950</v>
      </c>
      <c r="H90" s="30" t="str">
        <f>Data2026!H94</f>
        <v>Finished</v>
      </c>
      <c r="I90" s="30" t="str">
        <f>Data2026!I94</f>
        <v>SEO</v>
      </c>
      <c r="J90" s="9">
        <f>Data2026!J94</f>
        <v>46174</v>
      </c>
      <c r="K90" s="9">
        <f>Data2026!K94</f>
        <v>46203</v>
      </c>
      <c r="L90" s="43">
        <f t="shared" si="2"/>
        <v>0</v>
      </c>
      <c r="M90" s="43">
        <f t="shared" si="3"/>
        <v>0</v>
      </c>
      <c r="N90" s="43">
        <f t="shared" si="4"/>
        <v>0</v>
      </c>
      <c r="O90" s="43">
        <f t="shared" si="5"/>
        <v>0</v>
      </c>
      <c r="P90" s="43">
        <f t="shared" si="6"/>
        <v>0</v>
      </c>
      <c r="Q90" s="43">
        <f t="shared" si="7"/>
        <v>950</v>
      </c>
      <c r="R90" s="49" t="str">
        <f t="shared" ref="R90:W90" si="253">SUMIF(Tableau!$A:$A,$A90,Tableau!E:E)</f>
        <v>#N/A</v>
      </c>
      <c r="S90" s="49" t="str">
        <f t="shared" si="253"/>
        <v>#N/A</v>
      </c>
      <c r="T90" s="49" t="str">
        <f t="shared" si="253"/>
        <v>#N/A</v>
      </c>
      <c r="U90" s="49" t="str">
        <f t="shared" si="253"/>
        <v>#N/A</v>
      </c>
      <c r="V90" s="49" t="str">
        <f t="shared" si="253"/>
        <v>#N/A</v>
      </c>
      <c r="W90" s="49" t="str">
        <f t="shared" si="253"/>
        <v>#N/A</v>
      </c>
      <c r="X90" s="49" t="str">
        <f t="shared" ref="X90:AC90" si="254">SUMIF(Tableau!$A:$A,$A90,Tableau!P:P)</f>
        <v>#N/A</v>
      </c>
      <c r="Y90" s="49" t="str">
        <f t="shared" si="254"/>
        <v>#N/A</v>
      </c>
      <c r="Z90" s="49" t="str">
        <f t="shared" si="254"/>
        <v>#N/A</v>
      </c>
      <c r="AA90" s="49" t="str">
        <f t="shared" si="254"/>
        <v>#N/A</v>
      </c>
      <c r="AB90" s="49" t="str">
        <f t="shared" si="254"/>
        <v>#N/A</v>
      </c>
      <c r="AC90" s="49" t="str">
        <f t="shared" si="254"/>
        <v>#N/A</v>
      </c>
      <c r="AF90" s="22"/>
      <c r="AG90" s="22"/>
      <c r="AH90" s="22"/>
      <c r="AI90" s="22"/>
      <c r="AJ90" s="22"/>
      <c r="AK90" s="23"/>
      <c r="AN90" s="24"/>
      <c r="AX90" s="25"/>
      <c r="BR90" s="25"/>
      <c r="CF90" s="27"/>
      <c r="CG90" s="27"/>
      <c r="CH90" s="27"/>
      <c r="CI90" s="27"/>
      <c r="CJ90" s="27"/>
      <c r="CK90" s="27"/>
    </row>
    <row r="91" ht="14.25" customHeight="1">
      <c r="A91" s="30" t="str">
        <f>Data2026!A95</f>
        <v>barkkzzcs</v>
      </c>
      <c r="B91" s="9">
        <f>Data2026!B95</f>
        <v>46177</v>
      </c>
      <c r="C91" s="113" t="str">
        <f>Data2026!C95</f>
        <v>Fixed</v>
      </c>
      <c r="D91" s="12" t="str">
        <f>Data2026!D95</f>
        <v>barkkzzcs</v>
      </c>
      <c r="E91" s="114" t="str">
        <f>Data2026!E95</f>
        <v>Elene_Gh</v>
      </c>
      <c r="F91" s="115">
        <f>Data2026!F95</f>
        <v>46177</v>
      </c>
      <c r="G91" s="116">
        <f>Data2026!G95</f>
        <v>580.67</v>
      </c>
      <c r="H91" s="117" t="str">
        <f>Data2026!H95</f>
        <v>Finished</v>
      </c>
      <c r="I91" s="117" t="str">
        <f>Data2026!I95</f>
        <v>Influence</v>
      </c>
      <c r="J91" s="115">
        <f>Data2026!J95</f>
        <v>46174</v>
      </c>
      <c r="K91" s="115">
        <f>Data2026!K95</f>
        <v>46203</v>
      </c>
      <c r="L91" s="43">
        <f t="shared" si="2"/>
        <v>0</v>
      </c>
      <c r="M91" s="43">
        <f t="shared" si="3"/>
        <v>0</v>
      </c>
      <c r="N91" s="43">
        <f t="shared" si="4"/>
        <v>0</v>
      </c>
      <c r="O91" s="43">
        <f t="shared" si="5"/>
        <v>0</v>
      </c>
      <c r="P91" s="43">
        <f t="shared" si="6"/>
        <v>0</v>
      </c>
      <c r="Q91" s="43">
        <f t="shared" si="7"/>
        <v>580.67</v>
      </c>
      <c r="R91" s="49" t="str">
        <f t="shared" ref="R91:W91" si="255">SUMIF(Tableau!$A:$A,$A91,Tableau!E:E)</f>
        <v>#N/A</v>
      </c>
      <c r="S91" s="49" t="str">
        <f t="shared" si="255"/>
        <v>#N/A</v>
      </c>
      <c r="T91" s="49" t="str">
        <f t="shared" si="255"/>
        <v>#N/A</v>
      </c>
      <c r="U91" s="49" t="str">
        <f t="shared" si="255"/>
        <v>#N/A</v>
      </c>
      <c r="V91" s="49" t="str">
        <f t="shared" si="255"/>
        <v>#N/A</v>
      </c>
      <c r="W91" s="49" t="str">
        <f t="shared" si="255"/>
        <v>#N/A</v>
      </c>
      <c r="X91" s="49" t="str">
        <f t="shared" ref="X91:AC91" si="256">SUMIF(Tableau!$A:$A,$A91,Tableau!P:P)</f>
        <v>#N/A</v>
      </c>
      <c r="Y91" s="49" t="str">
        <f t="shared" si="256"/>
        <v>#N/A</v>
      </c>
      <c r="Z91" s="49" t="str">
        <f t="shared" si="256"/>
        <v>#N/A</v>
      </c>
      <c r="AA91" s="49" t="str">
        <f t="shared" si="256"/>
        <v>#N/A</v>
      </c>
      <c r="AB91" s="49" t="str">
        <f t="shared" si="256"/>
        <v>#N/A</v>
      </c>
      <c r="AC91" s="49" t="str">
        <f t="shared" si="256"/>
        <v>#N/A</v>
      </c>
      <c r="AF91" s="22"/>
      <c r="AG91" s="22"/>
      <c r="AH91" s="22"/>
      <c r="AI91" s="22"/>
      <c r="AJ91" s="22"/>
      <c r="AK91" s="23"/>
      <c r="AN91" s="24"/>
      <c r="AX91" s="25"/>
      <c r="BR91" s="25"/>
      <c r="CF91" s="27"/>
      <c r="CG91" s="27"/>
      <c r="CH91" s="27"/>
      <c r="CI91" s="27"/>
      <c r="CJ91" s="27"/>
      <c r="CK91" s="27"/>
    </row>
    <row r="92" ht="14.25" customHeight="1">
      <c r="A92" s="30" t="str">
        <f>Data2026!A96</f>
        <v>tribunadigital</v>
      </c>
      <c r="B92" s="9">
        <f>Data2026!B96</f>
        <v>46181</v>
      </c>
      <c r="C92" s="113" t="str">
        <f>Data2026!C96</f>
        <v>Fixed</v>
      </c>
      <c r="D92" s="12" t="str">
        <f>Data2026!D96</f>
        <v>tribunadigital</v>
      </c>
      <c r="E92" s="114" t="str">
        <f>Data2026!E96</f>
        <v>Nini_B</v>
      </c>
      <c r="F92" s="115">
        <f>Data2026!F96</f>
        <v>46181</v>
      </c>
      <c r="G92" s="113">
        <f>Data2026!G96</f>
        <v>1650</v>
      </c>
      <c r="H92" s="30" t="s">
        <v>45</v>
      </c>
      <c r="I92" s="117" t="str">
        <f>Data2026!I96</f>
        <v>SEO</v>
      </c>
      <c r="J92" s="115">
        <f>Data2026!J96</f>
        <v>46188</v>
      </c>
      <c r="K92" s="115">
        <f>Data2026!K96</f>
        <v>46227</v>
      </c>
      <c r="L92" s="43">
        <f t="shared" si="2"/>
        <v>0</v>
      </c>
      <c r="M92" s="43">
        <f t="shared" si="3"/>
        <v>0</v>
      </c>
      <c r="N92" s="43">
        <f t="shared" si="4"/>
        <v>0</v>
      </c>
      <c r="O92" s="43">
        <f t="shared" si="5"/>
        <v>0</v>
      </c>
      <c r="P92" s="43">
        <f t="shared" si="6"/>
        <v>0</v>
      </c>
      <c r="Q92" s="43">
        <f t="shared" si="7"/>
        <v>676.9230769</v>
      </c>
      <c r="R92" s="49" t="str">
        <f t="shared" ref="R92:W92" si="257">SUMIF(Tableau!$A:$A,$A92,Tableau!E:E)</f>
        <v>#N/A</v>
      </c>
      <c r="S92" s="49" t="str">
        <f t="shared" si="257"/>
        <v>#N/A</v>
      </c>
      <c r="T92" s="49" t="str">
        <f t="shared" si="257"/>
        <v>#N/A</v>
      </c>
      <c r="U92" s="49" t="str">
        <f t="shared" si="257"/>
        <v>#N/A</v>
      </c>
      <c r="V92" s="49" t="str">
        <f t="shared" si="257"/>
        <v>#N/A</v>
      </c>
      <c r="W92" s="49" t="str">
        <f t="shared" si="257"/>
        <v>#N/A</v>
      </c>
      <c r="X92" s="49" t="str">
        <f t="shared" ref="X92:AC92" si="258">SUMIF(Tableau!$A:$A,$A92,Tableau!P:P)</f>
        <v>#N/A</v>
      </c>
      <c r="Y92" s="49" t="str">
        <f t="shared" si="258"/>
        <v>#N/A</v>
      </c>
      <c r="Z92" s="49" t="str">
        <f t="shared" si="258"/>
        <v>#N/A</v>
      </c>
      <c r="AA92" s="49" t="str">
        <f t="shared" si="258"/>
        <v>#N/A</v>
      </c>
      <c r="AB92" s="49" t="str">
        <f t="shared" si="258"/>
        <v>#N/A</v>
      </c>
      <c r="AC92" s="49" t="str">
        <f t="shared" si="258"/>
        <v>#N/A</v>
      </c>
      <c r="AF92" s="22"/>
      <c r="AG92" s="22"/>
      <c r="AH92" s="22"/>
      <c r="AI92" s="22"/>
      <c r="AJ92" s="22"/>
      <c r="AK92" s="23"/>
      <c r="AN92" s="24"/>
      <c r="AX92" s="25"/>
      <c r="BR92" s="25"/>
      <c r="CF92" s="27"/>
      <c r="CG92" s="27"/>
      <c r="CH92" s="27"/>
      <c r="CI92" s="27"/>
      <c r="CJ92" s="27"/>
      <c r="CK92" s="27"/>
    </row>
    <row r="93" ht="14.25" customHeight="1">
      <c r="A93" s="30" t="str">
        <f>Data2026!A97</f>
        <v>tribunadigital</v>
      </c>
      <c r="B93" s="9">
        <f>Data2026!B97</f>
        <v>46181</v>
      </c>
      <c r="C93" s="113" t="str">
        <f>Data2026!C97</f>
        <v>Fixed</v>
      </c>
      <c r="D93" s="12" t="str">
        <f>Data2026!D97</f>
        <v>tribunadigital</v>
      </c>
      <c r="E93" s="114" t="str">
        <f>Data2026!E97</f>
        <v>Nini_B</v>
      </c>
      <c r="F93" s="115">
        <f>Data2026!F97</f>
        <v>46181</v>
      </c>
      <c r="G93" s="113">
        <f>Data2026!G97</f>
        <v>1650</v>
      </c>
      <c r="H93" s="30" t="s">
        <v>45</v>
      </c>
      <c r="I93" s="117" t="str">
        <f>Data2026!I97</f>
        <v>SEO</v>
      </c>
      <c r="J93" s="115">
        <f>Data2026!J97</f>
        <v>46188</v>
      </c>
      <c r="K93" s="115">
        <f>Data2026!K97</f>
        <v>46227</v>
      </c>
      <c r="L93" s="43">
        <f t="shared" si="2"/>
        <v>0</v>
      </c>
      <c r="M93" s="43">
        <f t="shared" si="3"/>
        <v>0</v>
      </c>
      <c r="N93" s="43">
        <f t="shared" si="4"/>
        <v>0</v>
      </c>
      <c r="O93" s="43">
        <f t="shared" si="5"/>
        <v>0</v>
      </c>
      <c r="P93" s="43">
        <f t="shared" si="6"/>
        <v>0</v>
      </c>
      <c r="Q93" s="43">
        <f t="shared" si="7"/>
        <v>676.9230769</v>
      </c>
      <c r="R93" s="49" t="str">
        <f t="shared" ref="R93:S93" si="259">SUMIF(Tableau!$A:$A,$A93,Tableau!E:E)</f>
        <v>#N/A</v>
      </c>
      <c r="S93" s="49" t="str">
        <f t="shared" si="259"/>
        <v>#N/A</v>
      </c>
      <c r="U93" s="49" t="str">
        <f t="shared" ref="U93:W93" si="260">SUMIF(Tableau!$A:$A,$A93,Tableau!H:H)</f>
        <v>#N/A</v>
      </c>
      <c r="V93" s="49" t="str">
        <f t="shared" si="260"/>
        <v>#N/A</v>
      </c>
      <c r="W93" s="49" t="str">
        <f t="shared" si="260"/>
        <v>#N/A</v>
      </c>
      <c r="X93" s="49" t="str">
        <f t="shared" ref="X93:Z93" si="261">SUMIF(Tableau!$A:$A,$A93,Tableau!P:P)</f>
        <v>#N/A</v>
      </c>
      <c r="Y93" s="49" t="str">
        <f t="shared" si="261"/>
        <v>#N/A</v>
      </c>
      <c r="Z93" s="49" t="str">
        <f t="shared" si="261"/>
        <v>#N/A</v>
      </c>
      <c r="AB93" s="49" t="str">
        <f>SUMIF(Tableau!$A:$A,$A93,Tableau!T:T)</f>
        <v>#N/A</v>
      </c>
      <c r="AF93" s="22"/>
      <c r="AG93" s="22"/>
      <c r="AH93" s="22"/>
      <c r="AI93" s="22"/>
      <c r="AJ93" s="22"/>
      <c r="AK93" s="23"/>
      <c r="AN93" s="24"/>
      <c r="AX93" s="25"/>
      <c r="BR93" s="25"/>
      <c r="CF93" s="27"/>
      <c r="CG93" s="27"/>
      <c r="CH93" s="27"/>
      <c r="CI93" s="27"/>
      <c r="CJ93" s="27"/>
      <c r="CK93" s="27"/>
    </row>
    <row r="94" ht="14.25" customHeight="1">
      <c r="A94" s="30" t="str">
        <f>Data2026!A98</f>
        <v>MAXXIMTV</v>
      </c>
      <c r="B94" s="9">
        <f>Data2026!B98</f>
        <v>46182</v>
      </c>
      <c r="C94" s="113" t="str">
        <f>Data2026!C98</f>
        <v>Fixed</v>
      </c>
      <c r="D94" s="12" t="str">
        <f>Data2026!D98</f>
        <v>MAXXIMTV</v>
      </c>
      <c r="E94" s="114" t="str">
        <f>Data2026!E98</f>
        <v>Elene_Gh</v>
      </c>
      <c r="F94" s="115">
        <f>Data2026!F98</f>
        <v>46182</v>
      </c>
      <c r="G94" s="113">
        <f>Data2026!G98</f>
        <v>477.26</v>
      </c>
      <c r="H94" s="30" t="s">
        <v>45</v>
      </c>
      <c r="I94" s="117" t="str">
        <f>Data2026!I98</f>
        <v>Influence</v>
      </c>
      <c r="J94" s="115">
        <f>Data2026!J98</f>
        <v>46183</v>
      </c>
      <c r="K94" s="115">
        <f>Data2026!K98</f>
        <v>46213</v>
      </c>
      <c r="L94" s="43">
        <f t="shared" si="2"/>
        <v>0</v>
      </c>
      <c r="M94" s="43">
        <f t="shared" si="3"/>
        <v>0</v>
      </c>
      <c r="N94" s="43">
        <f t="shared" si="4"/>
        <v>0</v>
      </c>
      <c r="O94" s="43">
        <f t="shared" si="5"/>
        <v>0</v>
      </c>
      <c r="P94" s="43">
        <f t="shared" si="6"/>
        <v>0</v>
      </c>
      <c r="Q94" s="43">
        <f t="shared" si="7"/>
        <v>334.082</v>
      </c>
      <c r="R94" s="49" t="str">
        <f t="shared" ref="R94:W94" si="262">SUMIF(Tableau!$A:$A,$A94,Tableau!E:E)</f>
        <v>#N/A</v>
      </c>
      <c r="S94" s="49" t="str">
        <f t="shared" si="262"/>
        <v>#N/A</v>
      </c>
      <c r="T94" s="49" t="str">
        <f t="shared" si="262"/>
        <v>#N/A</v>
      </c>
      <c r="U94" s="49" t="str">
        <f t="shared" si="262"/>
        <v>#N/A</v>
      </c>
      <c r="V94" s="49" t="str">
        <f t="shared" si="262"/>
        <v>#N/A</v>
      </c>
      <c r="W94" s="49" t="str">
        <f t="shared" si="262"/>
        <v>#N/A</v>
      </c>
      <c r="X94" s="49" t="str">
        <f t="shared" ref="X94:AC94" si="263">SUMIF(Tableau!$A:$A,$A94,Tableau!P:P)</f>
        <v>#N/A</v>
      </c>
      <c r="Y94" s="49" t="str">
        <f t="shared" si="263"/>
        <v>#N/A</v>
      </c>
      <c r="Z94" s="49" t="str">
        <f t="shared" si="263"/>
        <v>#N/A</v>
      </c>
      <c r="AA94" s="49" t="str">
        <f t="shared" si="263"/>
        <v>#N/A</v>
      </c>
      <c r="AB94" s="49" t="str">
        <f t="shared" si="263"/>
        <v>#N/A</v>
      </c>
      <c r="AC94" s="49" t="str">
        <f t="shared" si="263"/>
        <v>#N/A</v>
      </c>
      <c r="AF94" s="22"/>
      <c r="AG94" s="22"/>
      <c r="AH94" s="22"/>
      <c r="AI94" s="22"/>
      <c r="AJ94" s="22"/>
      <c r="AK94" s="23"/>
      <c r="AN94" s="24"/>
      <c r="AX94" s="25"/>
      <c r="BR94" s="25"/>
      <c r="CF94" s="27"/>
      <c r="CG94" s="27"/>
      <c r="CH94" s="27"/>
      <c r="CI94" s="27"/>
      <c r="CJ94" s="27"/>
      <c r="CK94" s="27"/>
    </row>
    <row r="95" ht="14.25" customHeight="1">
      <c r="A95" s="30" t="str">
        <f>Data2026!A99</f>
        <v>Firelink</v>
      </c>
      <c r="B95" s="9">
        <f>Data2026!B99</f>
        <v>46183</v>
      </c>
      <c r="C95" s="113" t="str">
        <f>Data2026!C99</f>
        <v>Fixed</v>
      </c>
      <c r="D95" s="12" t="str">
        <f>Data2026!D99</f>
        <v>Firelink</v>
      </c>
      <c r="E95" s="114" t="str">
        <f>Data2026!E99</f>
        <v>Elene_Gh</v>
      </c>
      <c r="F95" s="115">
        <f>Data2026!F99</f>
        <v>46183</v>
      </c>
      <c r="G95" s="113">
        <f>Data2026!G99</f>
        <v>1901.8</v>
      </c>
      <c r="H95" s="30" t="s">
        <v>45</v>
      </c>
      <c r="I95" s="117" t="str">
        <f>Data2026!I99</f>
        <v>SEO</v>
      </c>
      <c r="J95" s="115">
        <f>Data2026!J99</f>
        <v>46189</v>
      </c>
      <c r="K95" s="115">
        <f>Data2026!K99</f>
        <v>46220</v>
      </c>
      <c r="L95" s="43">
        <f t="shared" si="2"/>
        <v>0</v>
      </c>
      <c r="M95" s="43">
        <f t="shared" si="3"/>
        <v>0</v>
      </c>
      <c r="N95" s="43">
        <f t="shared" si="4"/>
        <v>0</v>
      </c>
      <c r="O95" s="43">
        <f t="shared" si="5"/>
        <v>0</v>
      </c>
      <c r="P95" s="43">
        <f t="shared" si="6"/>
        <v>0</v>
      </c>
      <c r="Q95" s="43">
        <f t="shared" si="7"/>
        <v>920.2258065</v>
      </c>
      <c r="R95" s="49" t="str">
        <f t="shared" ref="R95:W95" si="264">SUMIF(Tableau!$A:$A,$A95,Tableau!E:E)</f>
        <v>#N/A</v>
      </c>
      <c r="S95" s="49" t="str">
        <f t="shared" si="264"/>
        <v>#N/A</v>
      </c>
      <c r="T95" s="49" t="str">
        <f t="shared" si="264"/>
        <v>#N/A</v>
      </c>
      <c r="U95" s="49" t="str">
        <f t="shared" si="264"/>
        <v>#N/A</v>
      </c>
      <c r="V95" s="49" t="str">
        <f t="shared" si="264"/>
        <v>#N/A</v>
      </c>
      <c r="W95" s="49" t="str">
        <f t="shared" si="264"/>
        <v>#N/A</v>
      </c>
      <c r="X95" s="49" t="str">
        <f t="shared" ref="X95:AC95" si="265">SUMIF(Tableau!$A:$A,$A95,Tableau!P:P)</f>
        <v>#N/A</v>
      </c>
      <c r="Y95" s="49" t="str">
        <f t="shared" si="265"/>
        <v>#N/A</v>
      </c>
      <c r="Z95" s="49" t="str">
        <f t="shared" si="265"/>
        <v>#N/A</v>
      </c>
      <c r="AA95" s="49" t="str">
        <f t="shared" si="265"/>
        <v>#N/A</v>
      </c>
      <c r="AB95" s="49" t="str">
        <f t="shared" si="265"/>
        <v>#N/A</v>
      </c>
      <c r="AC95" s="49" t="str">
        <f t="shared" si="265"/>
        <v>#N/A</v>
      </c>
      <c r="AF95" s="22"/>
      <c r="AG95" s="22"/>
      <c r="AH95" s="22"/>
      <c r="AI95" s="22"/>
      <c r="AJ95" s="22"/>
      <c r="AK95" s="23"/>
      <c r="AN95" s="24"/>
      <c r="AX95" s="25"/>
      <c r="BR95" s="25"/>
      <c r="CF95" s="27"/>
      <c r="CG95" s="27"/>
      <c r="CH95" s="27"/>
      <c r="CI95" s="27"/>
      <c r="CJ95" s="27"/>
      <c r="CK95" s="27"/>
    </row>
    <row r="96" ht="14.25" customHeight="1">
      <c r="A96" s="30" t="str">
        <f>Data2026!A100</f>
        <v>Trafficlab_New</v>
      </c>
      <c r="B96" s="9">
        <f>Data2026!B100</f>
        <v>46183</v>
      </c>
      <c r="C96" s="113" t="str">
        <f>Data2026!C100</f>
        <v>Fixed</v>
      </c>
      <c r="D96" s="12" t="str">
        <f>Data2026!D100</f>
        <v>Trafficlab_New</v>
      </c>
      <c r="E96" s="114" t="str">
        <f>Data2026!E100</f>
        <v>Giorgi_Ts</v>
      </c>
      <c r="F96" s="115">
        <f>Data2026!F100</f>
        <v>46183</v>
      </c>
      <c r="G96" s="113">
        <f>Data2026!G100</f>
        <v>1500</v>
      </c>
      <c r="H96" s="30" t="s">
        <v>365</v>
      </c>
      <c r="I96" s="117" t="str">
        <f>Data2026!I100</f>
        <v>SEO</v>
      </c>
      <c r="J96" s="115">
        <f>Data2026!J100</f>
        <v>46204</v>
      </c>
      <c r="K96" s="115">
        <f>Data2026!K100</f>
        <v>46266</v>
      </c>
      <c r="L96" s="43">
        <f t="shared" si="2"/>
        <v>0</v>
      </c>
      <c r="M96" s="43">
        <f t="shared" si="3"/>
        <v>0</v>
      </c>
      <c r="N96" s="43">
        <f t="shared" si="4"/>
        <v>0</v>
      </c>
      <c r="O96" s="43">
        <f t="shared" si="5"/>
        <v>0</v>
      </c>
      <c r="P96" s="43">
        <f t="shared" si="6"/>
        <v>0</v>
      </c>
      <c r="Q96" s="43">
        <f t="shared" si="7"/>
        <v>0</v>
      </c>
      <c r="R96" s="49" t="str">
        <f t="shared" ref="R96:W96" si="266">SUMIF(Tableau!$A:$A,$A96,Tableau!E:E)</f>
        <v>#N/A</v>
      </c>
      <c r="S96" s="49" t="str">
        <f t="shared" si="266"/>
        <v>#N/A</v>
      </c>
      <c r="T96" s="49" t="str">
        <f t="shared" si="266"/>
        <v>#N/A</v>
      </c>
      <c r="U96" s="49" t="str">
        <f t="shared" si="266"/>
        <v>#N/A</v>
      </c>
      <c r="V96" s="49" t="str">
        <f t="shared" si="266"/>
        <v>#N/A</v>
      </c>
      <c r="W96" s="49" t="str">
        <f t="shared" si="266"/>
        <v>#N/A</v>
      </c>
      <c r="X96" s="49" t="str">
        <f t="shared" ref="X96:AC96" si="267">SUMIF(Tableau!$A:$A,$A96,Tableau!P:P)</f>
        <v>#N/A</v>
      </c>
      <c r="Y96" s="49" t="str">
        <f t="shared" si="267"/>
        <v>#N/A</v>
      </c>
      <c r="Z96" s="49" t="str">
        <f t="shared" si="267"/>
        <v>#N/A</v>
      </c>
      <c r="AA96" s="49" t="str">
        <f t="shared" si="267"/>
        <v>#N/A</v>
      </c>
      <c r="AB96" s="49" t="str">
        <f t="shared" si="267"/>
        <v>#N/A</v>
      </c>
      <c r="AC96" s="49" t="str">
        <f t="shared" si="267"/>
        <v>#N/A</v>
      </c>
      <c r="AF96" s="22"/>
      <c r="AG96" s="22"/>
      <c r="AH96" s="22"/>
      <c r="AI96" s="22"/>
      <c r="AJ96" s="22"/>
      <c r="AK96" s="23"/>
      <c r="AN96" s="24"/>
      <c r="AX96" s="25"/>
      <c r="BR96" s="25"/>
      <c r="CF96" s="27"/>
      <c r="CG96" s="27"/>
      <c r="CH96" s="27"/>
      <c r="CI96" s="27"/>
      <c r="CJ96" s="27"/>
      <c r="CK96" s="27"/>
    </row>
    <row r="97" ht="14.25" customHeight="1">
      <c r="A97" s="30" t="str">
        <f>Data2026!A101</f>
        <v>Kanadamaxi</v>
      </c>
      <c r="B97" s="9">
        <f>Data2026!B101</f>
        <v>46184</v>
      </c>
      <c r="C97" s="113" t="str">
        <f>Data2026!C101</f>
        <v>Fixed</v>
      </c>
      <c r="D97" s="12" t="str">
        <f>Data2026!D101</f>
        <v>Kanadamaxi</v>
      </c>
      <c r="E97" s="114" t="str">
        <f>Data2026!E101</f>
        <v>Elene_Gh</v>
      </c>
      <c r="F97" s="115">
        <f>Data2026!F101</f>
        <v>46184</v>
      </c>
      <c r="G97" s="113">
        <f>Data2026!G101</f>
        <v>302.95</v>
      </c>
      <c r="H97" s="30" t="s">
        <v>114</v>
      </c>
      <c r="I97" s="117" t="str">
        <f>Data2026!I101</f>
        <v>Influence</v>
      </c>
      <c r="J97" s="115">
        <f>Data2026!J101</f>
        <v>46185</v>
      </c>
      <c r="K97" s="115">
        <f>Data2026!K101</f>
        <v>46192</v>
      </c>
      <c r="L97" s="43">
        <f t="shared" si="2"/>
        <v>0</v>
      </c>
      <c r="M97" s="43">
        <f t="shared" si="3"/>
        <v>0</v>
      </c>
      <c r="N97" s="43">
        <f t="shared" si="4"/>
        <v>0</v>
      </c>
      <c r="O97" s="43">
        <f t="shared" si="5"/>
        <v>0</v>
      </c>
      <c r="P97" s="43">
        <f t="shared" si="6"/>
        <v>0</v>
      </c>
      <c r="Q97" s="43">
        <f t="shared" si="7"/>
        <v>302.95</v>
      </c>
      <c r="R97" s="49" t="str">
        <f t="shared" ref="R97:W97" si="268">SUMIF(Tableau!$A:$A,$A97,Tableau!E:E)</f>
        <v>#N/A</v>
      </c>
      <c r="S97" s="49" t="str">
        <f t="shared" si="268"/>
        <v>#N/A</v>
      </c>
      <c r="T97" s="49" t="str">
        <f t="shared" si="268"/>
        <v>#N/A</v>
      </c>
      <c r="U97" s="49" t="str">
        <f t="shared" si="268"/>
        <v>#N/A</v>
      </c>
      <c r="V97" s="49" t="str">
        <f t="shared" si="268"/>
        <v>#N/A</v>
      </c>
      <c r="W97" s="49" t="str">
        <f t="shared" si="268"/>
        <v>#N/A</v>
      </c>
      <c r="X97" s="49" t="str">
        <f t="shared" ref="X97:AC97" si="269">SUMIF(Tableau!$A:$A,$A97,Tableau!P:P)</f>
        <v>#N/A</v>
      </c>
      <c r="Y97" s="49" t="str">
        <f t="shared" si="269"/>
        <v>#N/A</v>
      </c>
      <c r="Z97" s="49" t="str">
        <f t="shared" si="269"/>
        <v>#N/A</v>
      </c>
      <c r="AA97" s="49" t="str">
        <f t="shared" si="269"/>
        <v>#N/A</v>
      </c>
      <c r="AB97" s="49" t="str">
        <f t="shared" si="269"/>
        <v>#N/A</v>
      </c>
      <c r="AC97" s="49" t="str">
        <f t="shared" si="269"/>
        <v>#N/A</v>
      </c>
      <c r="AF97" s="22"/>
      <c r="AG97" s="22"/>
      <c r="AH97" s="22"/>
      <c r="AI97" s="22"/>
      <c r="AJ97" s="22"/>
      <c r="AK97" s="23"/>
      <c r="AN97" s="24"/>
      <c r="AX97" s="25"/>
      <c r="BR97" s="25"/>
      <c r="CF97" s="27"/>
      <c r="CG97" s="27"/>
      <c r="CH97" s="27"/>
      <c r="CI97" s="27"/>
      <c r="CJ97" s="27"/>
      <c r="CK97" s="27"/>
    </row>
    <row r="98" ht="14.25" customHeight="1">
      <c r="A98" s="30" t="str">
        <f>Data2026!A102</f>
        <v>blexrSBO</v>
      </c>
      <c r="B98" s="9">
        <f>Data2026!B102</f>
        <v>46184</v>
      </c>
      <c r="C98" s="113" t="str">
        <f>Data2026!C102</f>
        <v>Fixed</v>
      </c>
      <c r="D98" s="12" t="str">
        <f>Data2026!D102</f>
        <v>blexrSBO</v>
      </c>
      <c r="E98" s="114" t="str">
        <f>Data2026!E102</f>
        <v>Nini_B</v>
      </c>
      <c r="F98" s="115">
        <f>Data2026!F102</f>
        <v>46184</v>
      </c>
      <c r="G98" s="113">
        <f>Data2026!G102</f>
        <v>3333.34</v>
      </c>
      <c r="H98" s="30" t="s">
        <v>45</v>
      </c>
      <c r="I98" s="117" t="str">
        <f>Data2026!I102</f>
        <v>SEO</v>
      </c>
      <c r="J98" s="115">
        <f>Data2026!J102</f>
        <v>46184</v>
      </c>
      <c r="K98" s="115">
        <f>Data2026!K102</f>
        <v>46214</v>
      </c>
      <c r="L98" s="43">
        <f t="shared" si="2"/>
        <v>0</v>
      </c>
      <c r="M98" s="43">
        <f t="shared" si="3"/>
        <v>0</v>
      </c>
      <c r="N98" s="43">
        <f t="shared" si="4"/>
        <v>0</v>
      </c>
      <c r="O98" s="43">
        <f t="shared" si="5"/>
        <v>0</v>
      </c>
      <c r="P98" s="43">
        <f t="shared" si="6"/>
        <v>0</v>
      </c>
      <c r="Q98" s="43">
        <f t="shared" si="7"/>
        <v>2222.226667</v>
      </c>
      <c r="R98" s="49" t="str">
        <f t="shared" ref="R98:W98" si="270">SUMIF(Tableau!$A:$A,$A98,Tableau!E:E)</f>
        <v>#N/A</v>
      </c>
      <c r="S98" s="49" t="str">
        <f t="shared" si="270"/>
        <v>#N/A</v>
      </c>
      <c r="T98" s="49" t="str">
        <f t="shared" si="270"/>
        <v>#N/A</v>
      </c>
      <c r="U98" s="49" t="str">
        <f t="shared" si="270"/>
        <v>#N/A</v>
      </c>
      <c r="V98" s="49" t="str">
        <f t="shared" si="270"/>
        <v>#N/A</v>
      </c>
      <c r="W98" s="49" t="str">
        <f t="shared" si="270"/>
        <v>#N/A</v>
      </c>
      <c r="X98" s="49" t="str">
        <f t="shared" ref="X98:AC98" si="271">SUMIF(Tableau!$A:$A,$A98,Tableau!P:P)</f>
        <v>#N/A</v>
      </c>
      <c r="Y98" s="49" t="str">
        <f t="shared" si="271"/>
        <v>#N/A</v>
      </c>
      <c r="Z98" s="49" t="str">
        <f t="shared" si="271"/>
        <v>#N/A</v>
      </c>
      <c r="AA98" s="49" t="str">
        <f t="shared" si="271"/>
        <v>#N/A</v>
      </c>
      <c r="AB98" s="49" t="str">
        <f t="shared" si="271"/>
        <v>#N/A</v>
      </c>
      <c r="AC98" s="49" t="str">
        <f t="shared" si="271"/>
        <v>#N/A</v>
      </c>
      <c r="AF98" s="22"/>
      <c r="AG98" s="22"/>
      <c r="AH98" s="22"/>
      <c r="AI98" s="22"/>
      <c r="AJ98" s="22"/>
      <c r="AK98" s="23"/>
      <c r="AN98" s="24"/>
      <c r="AX98" s="25"/>
      <c r="BR98" s="25"/>
      <c r="CF98" s="27"/>
      <c r="CG98" s="27"/>
      <c r="CH98" s="27"/>
      <c r="CI98" s="27"/>
      <c r="CJ98" s="27"/>
      <c r="CK98" s="27"/>
    </row>
    <row r="99" ht="14.25" customHeight="1">
      <c r="A99" s="30" t="str">
        <f>Data2026!A103</f>
        <v>blexrSBO</v>
      </c>
      <c r="B99" s="9">
        <f>Data2026!B103</f>
        <v>46184</v>
      </c>
      <c r="C99" s="113" t="str">
        <f>Data2026!C103</f>
        <v>Fixed</v>
      </c>
      <c r="D99" s="12" t="str">
        <f>Data2026!D103</f>
        <v>blexrSBO</v>
      </c>
      <c r="E99" s="114" t="str">
        <f>Data2026!E103</f>
        <v>Nini_B</v>
      </c>
      <c r="F99" s="115">
        <f>Data2026!F103</f>
        <v>46184</v>
      </c>
      <c r="G99" s="113">
        <f>Data2026!G103</f>
        <v>1666.66</v>
      </c>
      <c r="H99" s="30" t="s">
        <v>45</v>
      </c>
      <c r="I99" s="117" t="str">
        <f>Data2026!I103</f>
        <v>SEO</v>
      </c>
      <c r="J99" s="115">
        <f>Data2026!J103</f>
        <v>46184</v>
      </c>
      <c r="K99" s="115">
        <f>Data2026!K103</f>
        <v>46214</v>
      </c>
      <c r="L99" s="43">
        <f t="shared" si="2"/>
        <v>0</v>
      </c>
      <c r="M99" s="43">
        <f t="shared" si="3"/>
        <v>0</v>
      </c>
      <c r="N99" s="43">
        <f t="shared" si="4"/>
        <v>0</v>
      </c>
      <c r="O99" s="43">
        <f t="shared" si="5"/>
        <v>0</v>
      </c>
      <c r="P99" s="43">
        <f t="shared" si="6"/>
        <v>0</v>
      </c>
      <c r="Q99" s="43">
        <f t="shared" si="7"/>
        <v>1111.106667</v>
      </c>
      <c r="R99" s="49" t="str">
        <f t="shared" ref="R99:W99" si="272">SUMIF(Tableau!$A:$A,$A99,Tableau!E:E)</f>
        <v>#N/A</v>
      </c>
      <c r="S99" s="49" t="str">
        <f t="shared" si="272"/>
        <v>#N/A</v>
      </c>
      <c r="T99" s="49" t="str">
        <f t="shared" si="272"/>
        <v>#N/A</v>
      </c>
      <c r="U99" s="49" t="str">
        <f t="shared" si="272"/>
        <v>#N/A</v>
      </c>
      <c r="V99" s="49" t="str">
        <f t="shared" si="272"/>
        <v>#N/A</v>
      </c>
      <c r="W99" s="49" t="str">
        <f t="shared" si="272"/>
        <v>#N/A</v>
      </c>
      <c r="X99" s="49" t="str">
        <f t="shared" ref="X99:AC99" si="273">SUMIF(Tableau!$A:$A,$A99,Tableau!P:P)</f>
        <v>#N/A</v>
      </c>
      <c r="Y99" s="49" t="str">
        <f t="shared" si="273"/>
        <v>#N/A</v>
      </c>
      <c r="Z99" s="49" t="str">
        <f t="shared" si="273"/>
        <v>#N/A</v>
      </c>
      <c r="AA99" s="49" t="str">
        <f t="shared" si="273"/>
        <v>#N/A</v>
      </c>
      <c r="AB99" s="49" t="str">
        <f t="shared" si="273"/>
        <v>#N/A</v>
      </c>
      <c r="AC99" s="49" t="str">
        <f t="shared" si="273"/>
        <v>#N/A</v>
      </c>
      <c r="AF99" s="22"/>
      <c r="AG99" s="22"/>
      <c r="AH99" s="22"/>
      <c r="AI99" s="22"/>
      <c r="AJ99" s="22"/>
      <c r="AK99" s="23"/>
      <c r="AN99" s="24"/>
      <c r="AX99" s="25"/>
      <c r="BR99" s="25"/>
      <c r="CF99" s="27"/>
      <c r="CG99" s="27"/>
      <c r="CH99" s="27"/>
      <c r="CI99" s="27"/>
      <c r="CJ99" s="27"/>
      <c r="CK99" s="27"/>
    </row>
    <row r="100" ht="14.25" customHeight="1">
      <c r="A100" s="30" t="str">
        <f>Data2026!A104</f>
        <v>Naqo</v>
      </c>
      <c r="B100" s="9">
        <f>Data2026!B104</f>
        <v>46185</v>
      </c>
      <c r="C100" s="113" t="str">
        <f>Data2026!C104</f>
        <v>Fixed</v>
      </c>
      <c r="D100" s="12" t="str">
        <f>Data2026!D104</f>
        <v>Naqo</v>
      </c>
      <c r="E100" s="114" t="str">
        <f>Data2026!E104</f>
        <v>Elene_Gh</v>
      </c>
      <c r="F100" s="115">
        <f>Data2026!F104</f>
        <v>46185</v>
      </c>
      <c r="G100" s="113">
        <f>Data2026!G104</f>
        <v>2429.62</v>
      </c>
      <c r="H100" s="30" t="s">
        <v>114</v>
      </c>
      <c r="I100" s="117" t="str">
        <f>Data2026!I104</f>
        <v>Influence</v>
      </c>
      <c r="J100" s="115">
        <f>Data2026!J104</f>
        <v>46187</v>
      </c>
      <c r="K100" s="115">
        <f>Data2026!K104</f>
        <v>46194</v>
      </c>
      <c r="L100" s="43">
        <f t="shared" si="2"/>
        <v>0</v>
      </c>
      <c r="M100" s="43">
        <f t="shared" si="3"/>
        <v>0</v>
      </c>
      <c r="N100" s="43">
        <f t="shared" si="4"/>
        <v>0</v>
      </c>
      <c r="O100" s="43">
        <f t="shared" si="5"/>
        <v>0</v>
      </c>
      <c r="P100" s="43">
        <f t="shared" si="6"/>
        <v>0</v>
      </c>
      <c r="Q100" s="43">
        <f t="shared" si="7"/>
        <v>2429.62</v>
      </c>
      <c r="R100" s="49" t="str">
        <f t="shared" ref="R100:W100" si="274">SUMIF(Tableau!$A:$A,$A100,Tableau!E:E)</f>
        <v>#N/A</v>
      </c>
      <c r="S100" s="49" t="str">
        <f t="shared" si="274"/>
        <v>#N/A</v>
      </c>
      <c r="T100" s="49" t="str">
        <f t="shared" si="274"/>
        <v>#N/A</v>
      </c>
      <c r="U100" s="49" t="str">
        <f t="shared" si="274"/>
        <v>#N/A</v>
      </c>
      <c r="V100" s="49" t="str">
        <f t="shared" si="274"/>
        <v>#N/A</v>
      </c>
      <c r="W100" s="49" t="str">
        <f t="shared" si="274"/>
        <v>#N/A</v>
      </c>
      <c r="X100" s="49" t="str">
        <f t="shared" ref="X100:AC100" si="275">SUMIF(Tableau!$A:$A,$A100,Tableau!P:P)</f>
        <v>#N/A</v>
      </c>
      <c r="Y100" s="49" t="str">
        <f t="shared" si="275"/>
        <v>#N/A</v>
      </c>
      <c r="Z100" s="49" t="str">
        <f t="shared" si="275"/>
        <v>#N/A</v>
      </c>
      <c r="AA100" s="49" t="str">
        <f t="shared" si="275"/>
        <v>#N/A</v>
      </c>
      <c r="AB100" s="49" t="str">
        <f t="shared" si="275"/>
        <v>#N/A</v>
      </c>
      <c r="AC100" s="49" t="str">
        <f t="shared" si="275"/>
        <v>#N/A</v>
      </c>
      <c r="AF100" s="22"/>
      <c r="AG100" s="22"/>
      <c r="AH100" s="22"/>
      <c r="AI100" s="22"/>
      <c r="AJ100" s="22"/>
      <c r="AK100" s="23"/>
      <c r="AN100" s="24"/>
      <c r="AX100" s="25"/>
      <c r="BR100" s="25"/>
      <c r="CF100" s="27"/>
      <c r="CG100" s="27"/>
      <c r="CH100" s="27"/>
      <c r="CI100" s="27"/>
      <c r="CJ100" s="27"/>
      <c r="CK100" s="27"/>
    </row>
    <row r="101" ht="14.25" customHeight="1">
      <c r="A101" s="30" t="str">
        <f>Data2026!A105</f>
        <v>YuliaGoats</v>
      </c>
      <c r="B101" s="9">
        <f>Data2026!B105</f>
        <v>46185</v>
      </c>
      <c r="C101" s="113" t="str">
        <f>Data2026!C105</f>
        <v>CPA</v>
      </c>
      <c r="D101" s="12" t="str">
        <f>Data2026!D105</f>
        <v>YuliaGoats</v>
      </c>
      <c r="E101" s="114" t="str">
        <f>Data2026!E105</f>
        <v>Nini_B</v>
      </c>
      <c r="F101" s="115">
        <f>Data2026!F105</f>
        <v>46185</v>
      </c>
      <c r="G101" s="113">
        <f>Data2026!G105</f>
        <v>750</v>
      </c>
      <c r="H101" s="30" t="s">
        <v>114</v>
      </c>
      <c r="I101" s="117" t="str">
        <f>Data2026!I105</f>
        <v>Meta</v>
      </c>
      <c r="J101" s="115">
        <f>Data2026!J105</f>
        <v>46177</v>
      </c>
      <c r="K101" s="115">
        <f>Data2026!K105</f>
        <v>46129</v>
      </c>
      <c r="L101" s="43">
        <f t="shared" si="2"/>
        <v>0</v>
      </c>
      <c r="M101" s="43">
        <f t="shared" si="3"/>
        <v>0</v>
      </c>
      <c r="N101" s="43">
        <f t="shared" si="4"/>
        <v>0</v>
      </c>
      <c r="O101" s="43">
        <f t="shared" si="5"/>
        <v>0</v>
      </c>
      <c r="P101" s="43">
        <f t="shared" si="6"/>
        <v>0</v>
      </c>
      <c r="Q101" s="43">
        <f t="shared" si="7"/>
        <v>0</v>
      </c>
      <c r="R101" s="49" t="str">
        <f t="shared" ref="R101:W101" si="276">SUMIF(Tableau!$A:$A,$A101,Tableau!E:E)</f>
        <v>#N/A</v>
      </c>
      <c r="S101" s="49" t="str">
        <f t="shared" si="276"/>
        <v>#N/A</v>
      </c>
      <c r="T101" s="49" t="str">
        <f t="shared" si="276"/>
        <v>#N/A</v>
      </c>
      <c r="U101" s="49" t="str">
        <f t="shared" si="276"/>
        <v>#N/A</v>
      </c>
      <c r="V101" s="49" t="str">
        <f t="shared" si="276"/>
        <v>#N/A</v>
      </c>
      <c r="W101" s="49" t="str">
        <f t="shared" si="276"/>
        <v>#N/A</v>
      </c>
      <c r="X101" s="49" t="str">
        <f t="shared" ref="X101:AC101" si="277">SUMIF(Tableau!$A:$A,$A101,Tableau!P:P)</f>
        <v>#N/A</v>
      </c>
      <c r="Y101" s="49" t="str">
        <f t="shared" si="277"/>
        <v>#N/A</v>
      </c>
      <c r="Z101" s="49" t="str">
        <f t="shared" si="277"/>
        <v>#N/A</v>
      </c>
      <c r="AA101" s="49" t="str">
        <f t="shared" si="277"/>
        <v>#N/A</v>
      </c>
      <c r="AB101" s="49" t="str">
        <f t="shared" si="277"/>
        <v>#N/A</v>
      </c>
      <c r="AC101" s="49" t="str">
        <f t="shared" si="277"/>
        <v>#N/A</v>
      </c>
      <c r="AF101" s="22"/>
      <c r="AG101" s="22"/>
      <c r="AH101" s="22"/>
      <c r="AI101" s="22"/>
      <c r="AJ101" s="22"/>
      <c r="AK101" s="23"/>
      <c r="AN101" s="24"/>
      <c r="AX101" s="25"/>
      <c r="BR101" s="25"/>
      <c r="CF101" s="27"/>
      <c r="CG101" s="27"/>
      <c r="CH101" s="27"/>
      <c r="CI101" s="27"/>
      <c r="CJ101" s="27"/>
      <c r="CK101" s="27"/>
    </row>
    <row r="102" ht="14.25" customHeight="1">
      <c r="A102" s="30" t="str">
        <f>Data2026!A106</f>
        <v>YuliaGoats</v>
      </c>
      <c r="B102" s="9">
        <f>Data2026!B106</f>
        <v>46185</v>
      </c>
      <c r="C102" s="113" t="str">
        <f>Data2026!C106</f>
        <v>CPA</v>
      </c>
      <c r="D102" s="12" t="str">
        <f>Data2026!D106</f>
        <v>YuliaGoats</v>
      </c>
      <c r="E102" s="114" t="str">
        <f>Data2026!E106</f>
        <v>Nini_B</v>
      </c>
      <c r="F102" s="115">
        <f>Data2026!F106</f>
        <v>46185</v>
      </c>
      <c r="G102" s="113">
        <f>Data2026!G106</f>
        <v>750</v>
      </c>
      <c r="H102" s="30" t="s">
        <v>114</v>
      </c>
      <c r="I102" s="117" t="str">
        <f>Data2026!I106</f>
        <v>Meta</v>
      </c>
      <c r="J102" s="115">
        <f>Data2026!J106</f>
        <v>46177</v>
      </c>
      <c r="K102" s="115">
        <f>Data2026!K106</f>
        <v>46129</v>
      </c>
      <c r="L102" s="43">
        <f t="shared" si="2"/>
        <v>0</v>
      </c>
      <c r="M102" s="43">
        <f t="shared" si="3"/>
        <v>0</v>
      </c>
      <c r="N102" s="43">
        <f t="shared" si="4"/>
        <v>0</v>
      </c>
      <c r="O102" s="43">
        <f t="shared" si="5"/>
        <v>0</v>
      </c>
      <c r="P102" s="43">
        <f t="shared" si="6"/>
        <v>0</v>
      </c>
      <c r="Q102" s="43">
        <f t="shared" si="7"/>
        <v>0</v>
      </c>
      <c r="R102" s="49" t="str">
        <f t="shared" ref="R102:T102" si="278">SUMIF(Tableau!$A:$A,$A102,Tableau!E:E)</f>
        <v>#N/A</v>
      </c>
      <c r="S102" s="49" t="str">
        <f t="shared" si="278"/>
        <v>#N/A</v>
      </c>
      <c r="T102" s="49" t="str">
        <f t="shared" si="278"/>
        <v>#N/A</v>
      </c>
      <c r="V102" s="49" t="str">
        <f t="shared" ref="V102:W102" si="279">SUMIF(Tableau!$A:$A,$A102,Tableau!I:I)</f>
        <v>#N/A</v>
      </c>
      <c r="W102" s="49" t="str">
        <f t="shared" si="279"/>
        <v>#N/A</v>
      </c>
      <c r="X102" s="49" t="str">
        <f t="shared" ref="X102:Y102" si="280">SUMIF(Tableau!$A:$A,$A102,Tableau!P:P)</f>
        <v>#N/A</v>
      </c>
      <c r="Y102" s="49" t="str">
        <f t="shared" si="280"/>
        <v>#N/A</v>
      </c>
      <c r="AF102" s="22"/>
      <c r="AG102" s="22"/>
      <c r="AH102" s="22"/>
      <c r="AI102" s="22"/>
      <c r="AJ102" s="22"/>
      <c r="AK102" s="23"/>
      <c r="AN102" s="24"/>
      <c r="AO102" s="24"/>
      <c r="AX102" s="25"/>
      <c r="BR102" s="25"/>
      <c r="CF102" s="27"/>
      <c r="CG102" s="27"/>
      <c r="CH102" s="27"/>
      <c r="CI102" s="27"/>
      <c r="CJ102" s="27"/>
      <c r="CK102" s="27"/>
    </row>
    <row r="103" ht="14.25" customHeight="1">
      <c r="A103" s="30" t="str">
        <f>Data2026!A107</f>
        <v>YuliaGoats</v>
      </c>
      <c r="B103" s="9">
        <f>Data2026!B107</f>
        <v>46185</v>
      </c>
      <c r="C103" s="113" t="str">
        <f>Data2026!C107</f>
        <v>CPA</v>
      </c>
      <c r="D103" s="12" t="str">
        <f>Data2026!D107</f>
        <v>YuliaGoats</v>
      </c>
      <c r="E103" s="114" t="str">
        <f>Data2026!E107</f>
        <v>Nini_B</v>
      </c>
      <c r="F103" s="115">
        <f>Data2026!F107</f>
        <v>46185</v>
      </c>
      <c r="G103" s="113">
        <f>Data2026!G107</f>
        <v>750</v>
      </c>
      <c r="H103" s="30" t="s">
        <v>114</v>
      </c>
      <c r="I103" s="117" t="str">
        <f>Data2026!I107</f>
        <v>Meta</v>
      </c>
      <c r="J103" s="115">
        <f>Data2026!J107</f>
        <v>46177</v>
      </c>
      <c r="K103" s="115">
        <f>Data2026!K107</f>
        <v>46129</v>
      </c>
      <c r="L103" s="43">
        <f t="shared" si="2"/>
        <v>0</v>
      </c>
      <c r="M103" s="43">
        <f t="shared" si="3"/>
        <v>0</v>
      </c>
      <c r="N103" s="43">
        <f t="shared" si="4"/>
        <v>0</v>
      </c>
      <c r="O103" s="43">
        <f t="shared" si="5"/>
        <v>0</v>
      </c>
      <c r="P103" s="43">
        <f t="shared" si="6"/>
        <v>0</v>
      </c>
      <c r="Q103" s="43">
        <f t="shared" si="7"/>
        <v>0</v>
      </c>
      <c r="R103" s="49" t="str">
        <f t="shared" ref="R103:T103" si="281">SUMIF(Tableau!$A:$A,$A103,Tableau!E:E)</f>
        <v>#N/A</v>
      </c>
      <c r="S103" s="49" t="str">
        <f t="shared" si="281"/>
        <v>#N/A</v>
      </c>
      <c r="T103" s="49" t="str">
        <f t="shared" si="281"/>
        <v>#N/A</v>
      </c>
      <c r="V103" s="49" t="str">
        <f t="shared" ref="V103:W103" si="282">SUMIF(Tableau!$A:$A,$A103,Tableau!I:I)</f>
        <v>#N/A</v>
      </c>
      <c r="W103" s="49" t="str">
        <f t="shared" si="282"/>
        <v>#N/A</v>
      </c>
      <c r="X103" s="49" t="str">
        <f t="shared" ref="X103:Y103" si="283">SUMIF(Tableau!$A:$A,$A103,Tableau!P:P)</f>
        <v>#N/A</v>
      </c>
      <c r="Y103" s="49" t="str">
        <f t="shared" si="283"/>
        <v>#N/A</v>
      </c>
      <c r="AF103" s="22"/>
      <c r="AG103" s="22"/>
      <c r="AH103" s="22"/>
      <c r="AI103" s="22"/>
      <c r="AJ103" s="22"/>
      <c r="AK103" s="23"/>
      <c r="AN103" s="24"/>
      <c r="AO103" s="24"/>
      <c r="AX103" s="25"/>
      <c r="BR103" s="25"/>
      <c r="CF103" s="27"/>
      <c r="CG103" s="27"/>
      <c r="CH103" s="27"/>
      <c r="CI103" s="27"/>
      <c r="CJ103" s="27"/>
      <c r="CK103" s="27"/>
    </row>
    <row r="104" ht="14.25" customHeight="1">
      <c r="A104" s="30" t="str">
        <f>Data2026!A108</f>
        <v>Affilino33</v>
      </c>
      <c r="B104" s="9">
        <f>Data2026!B108</f>
        <v>46188</v>
      </c>
      <c r="C104" s="113" t="str">
        <f>Data2026!C108</f>
        <v>Fixed</v>
      </c>
      <c r="D104" s="12" t="str">
        <f>Data2026!D108</f>
        <v>Affilino33</v>
      </c>
      <c r="E104" s="114" t="str">
        <f>Data2026!E108</f>
        <v>Elene_Gh</v>
      </c>
      <c r="F104" s="115">
        <f>Data2026!F108</f>
        <v>46188</v>
      </c>
      <c r="G104" s="113">
        <f>Data2026!G108</f>
        <v>2500</v>
      </c>
      <c r="H104" s="30" t="s">
        <v>45</v>
      </c>
      <c r="I104" s="117" t="str">
        <f>Data2026!I108</f>
        <v>SEO</v>
      </c>
      <c r="J104" s="115">
        <f>Data2026!J108</f>
        <v>46195</v>
      </c>
      <c r="K104" s="115">
        <f>Data2026!K108</f>
        <v>46225</v>
      </c>
      <c r="L104" s="43">
        <f t="shared" si="2"/>
        <v>0</v>
      </c>
      <c r="M104" s="43">
        <f t="shared" si="3"/>
        <v>0</v>
      </c>
      <c r="N104" s="43">
        <f t="shared" si="4"/>
        <v>0</v>
      </c>
      <c r="O104" s="43">
        <f t="shared" si="5"/>
        <v>0</v>
      </c>
      <c r="P104" s="43">
        <f t="shared" si="6"/>
        <v>0</v>
      </c>
      <c r="Q104" s="43">
        <f t="shared" si="7"/>
        <v>750</v>
      </c>
      <c r="R104" s="49" t="str">
        <f t="shared" ref="R104:W104" si="284">SUMIF(Tableau!$A:$A,$A104,Tableau!E:E)</f>
        <v>#N/A</v>
      </c>
      <c r="S104" s="49" t="str">
        <f t="shared" si="284"/>
        <v>#N/A</v>
      </c>
      <c r="T104" s="49" t="str">
        <f t="shared" si="284"/>
        <v>#N/A</v>
      </c>
      <c r="U104" s="49" t="str">
        <f t="shared" si="284"/>
        <v>#N/A</v>
      </c>
      <c r="V104" s="49" t="str">
        <f t="shared" si="284"/>
        <v>#N/A</v>
      </c>
      <c r="W104" s="49" t="str">
        <f t="shared" si="284"/>
        <v>#N/A</v>
      </c>
      <c r="X104" s="49" t="str">
        <f t="shared" ref="X104:AC104" si="285">SUMIF(Tableau!$A:$A,$A104,Tableau!P:P)</f>
        <v>#N/A</v>
      </c>
      <c r="Y104" s="49" t="str">
        <f t="shared" si="285"/>
        <v>#N/A</v>
      </c>
      <c r="Z104" s="49" t="str">
        <f t="shared" si="285"/>
        <v>#N/A</v>
      </c>
      <c r="AA104" s="49" t="str">
        <f t="shared" si="285"/>
        <v>#N/A</v>
      </c>
      <c r="AB104" s="49" t="str">
        <f t="shared" si="285"/>
        <v>#N/A</v>
      </c>
      <c r="AC104" s="49" t="str">
        <f t="shared" si="285"/>
        <v>#N/A</v>
      </c>
      <c r="AF104" s="22"/>
      <c r="AG104" s="22"/>
      <c r="AH104" s="22"/>
      <c r="AI104" s="22"/>
      <c r="AJ104" s="22"/>
      <c r="AK104" s="23"/>
      <c r="AN104" s="24"/>
      <c r="AO104" s="24"/>
      <c r="AX104" s="25"/>
      <c r="BR104" s="25"/>
      <c r="CF104" s="27"/>
      <c r="CG104" s="27"/>
      <c r="CH104" s="27"/>
      <c r="CI104" s="27"/>
      <c r="CJ104" s="27"/>
      <c r="CK104" s="27"/>
    </row>
    <row r="105" ht="14.25" customHeight="1">
      <c r="A105" s="30" t="str">
        <f>Data2026!A109</f>
        <v>GagnoClub</v>
      </c>
      <c r="B105" s="9">
        <f>Data2026!B109</f>
        <v>46189</v>
      </c>
      <c r="C105" s="113" t="str">
        <f>Data2026!C109</f>
        <v>Fixed</v>
      </c>
      <c r="D105" s="12" t="str">
        <f>Data2026!D109</f>
        <v>GagnoClub</v>
      </c>
      <c r="E105" s="114" t="str">
        <f>Data2026!E109</f>
        <v>Elene_Gh</v>
      </c>
      <c r="F105" s="115">
        <f>Data2026!F109</f>
        <v>46189</v>
      </c>
      <c r="G105" s="113">
        <f>Data2026!G109</f>
        <v>1550.9</v>
      </c>
      <c r="H105" s="30" t="s">
        <v>45</v>
      </c>
      <c r="I105" s="117" t="str">
        <f>Data2026!I109</f>
        <v>SEO</v>
      </c>
      <c r="J105" s="115">
        <f>Data2026!J109</f>
        <v>46191</v>
      </c>
      <c r="K105" s="115">
        <f>Data2026!K109</f>
        <v>46221</v>
      </c>
      <c r="L105" s="43">
        <f t="shared" si="2"/>
        <v>0</v>
      </c>
      <c r="M105" s="43">
        <f t="shared" si="3"/>
        <v>0</v>
      </c>
      <c r="N105" s="43">
        <f t="shared" si="4"/>
        <v>0</v>
      </c>
      <c r="O105" s="43">
        <f t="shared" si="5"/>
        <v>0</v>
      </c>
      <c r="P105" s="43">
        <f t="shared" si="6"/>
        <v>0</v>
      </c>
      <c r="Q105" s="43">
        <f t="shared" si="7"/>
        <v>672.0566667</v>
      </c>
      <c r="R105" s="49" t="str">
        <f t="shared" ref="R105:W105" si="286">SUMIF(Tableau!$A:$A,$A105,Tableau!E:E)</f>
        <v>#N/A</v>
      </c>
      <c r="S105" s="49" t="str">
        <f t="shared" si="286"/>
        <v>#N/A</v>
      </c>
      <c r="T105" s="49" t="str">
        <f t="shared" si="286"/>
        <v>#N/A</v>
      </c>
      <c r="U105" s="49" t="str">
        <f t="shared" si="286"/>
        <v>#N/A</v>
      </c>
      <c r="V105" s="49" t="str">
        <f t="shared" si="286"/>
        <v>#N/A</v>
      </c>
      <c r="W105" s="49" t="str">
        <f t="shared" si="286"/>
        <v>#N/A</v>
      </c>
      <c r="X105" s="49" t="str">
        <f t="shared" ref="X105:AC105" si="287">SUMIF(Tableau!$A:$A,$A105,Tableau!P:P)</f>
        <v>#N/A</v>
      </c>
      <c r="Y105" s="49" t="str">
        <f t="shared" si="287"/>
        <v>#N/A</v>
      </c>
      <c r="Z105" s="49" t="str">
        <f t="shared" si="287"/>
        <v>#N/A</v>
      </c>
      <c r="AA105" s="49" t="str">
        <f t="shared" si="287"/>
        <v>#N/A</v>
      </c>
      <c r="AB105" s="49" t="str">
        <f t="shared" si="287"/>
        <v>#N/A</v>
      </c>
      <c r="AC105" s="49" t="str">
        <f t="shared" si="287"/>
        <v>#N/A</v>
      </c>
      <c r="AF105" s="22"/>
      <c r="AG105" s="22"/>
      <c r="AH105" s="22"/>
      <c r="AI105" s="22"/>
      <c r="AJ105" s="22"/>
      <c r="AK105" s="23"/>
      <c r="AN105" s="24"/>
      <c r="AO105" s="24"/>
      <c r="AX105" s="25"/>
      <c r="BR105" s="25"/>
      <c r="CF105" s="27"/>
      <c r="CG105" s="27"/>
      <c r="CH105" s="27"/>
      <c r="CI105" s="27"/>
      <c r="CJ105" s="27"/>
      <c r="CK105" s="27"/>
    </row>
    <row r="106" ht="14.25" customHeight="1">
      <c r="A106" s="30" t="str">
        <f>Data2026!A110</f>
        <v>Gabostream</v>
      </c>
      <c r="B106" s="9">
        <f>Data2026!B110</f>
        <v>46190</v>
      </c>
      <c r="C106" s="113" t="str">
        <f>Data2026!C110</f>
        <v>Fixed</v>
      </c>
      <c r="D106" s="12" t="str">
        <f>Data2026!D110</f>
        <v>Gabostream</v>
      </c>
      <c r="E106" s="114" t="str">
        <f>Data2026!E110</f>
        <v>Elene_Gh</v>
      </c>
      <c r="F106" s="115">
        <f>Data2026!F110</f>
        <v>46190</v>
      </c>
      <c r="G106" s="113">
        <f>Data2026!G110</f>
        <v>538.23</v>
      </c>
      <c r="H106" s="30" t="s">
        <v>45</v>
      </c>
      <c r="I106" s="117" t="str">
        <f>Data2026!I110</f>
        <v>Influence</v>
      </c>
      <c r="J106" s="115">
        <f>Data2026!J110</f>
        <v>46191</v>
      </c>
      <c r="K106" s="115">
        <f>Data2026!K110</f>
        <v>46221</v>
      </c>
      <c r="L106" s="43">
        <f t="shared" si="2"/>
        <v>0</v>
      </c>
      <c r="M106" s="43">
        <f t="shared" si="3"/>
        <v>0</v>
      </c>
      <c r="N106" s="43">
        <f t="shared" si="4"/>
        <v>0</v>
      </c>
      <c r="O106" s="43">
        <f t="shared" si="5"/>
        <v>0</v>
      </c>
      <c r="P106" s="43">
        <f t="shared" si="6"/>
        <v>0</v>
      </c>
      <c r="Q106" s="43">
        <f t="shared" si="7"/>
        <v>233.233</v>
      </c>
      <c r="R106" s="49" t="str">
        <f t="shared" ref="R106:W106" si="288">SUMIF(Tableau!$A:$A,$A106,Tableau!E:E)</f>
        <v>#N/A</v>
      </c>
      <c r="S106" s="49" t="str">
        <f t="shared" si="288"/>
        <v>#N/A</v>
      </c>
      <c r="T106" s="49" t="str">
        <f t="shared" si="288"/>
        <v>#N/A</v>
      </c>
      <c r="U106" s="49" t="str">
        <f t="shared" si="288"/>
        <v>#N/A</v>
      </c>
      <c r="V106" s="49" t="str">
        <f t="shared" si="288"/>
        <v>#N/A</v>
      </c>
      <c r="W106" s="49" t="str">
        <f t="shared" si="288"/>
        <v>#N/A</v>
      </c>
      <c r="X106" s="49" t="str">
        <f t="shared" ref="X106:AC106" si="289">SUMIF(Tableau!$A:$A,$A106,Tableau!P:P)</f>
        <v>#N/A</v>
      </c>
      <c r="Y106" s="49" t="str">
        <f t="shared" si="289"/>
        <v>#N/A</v>
      </c>
      <c r="Z106" s="49" t="str">
        <f t="shared" si="289"/>
        <v>#N/A</v>
      </c>
      <c r="AA106" s="49" t="str">
        <f t="shared" si="289"/>
        <v>#N/A</v>
      </c>
      <c r="AB106" s="49" t="str">
        <f t="shared" si="289"/>
        <v>#N/A</v>
      </c>
      <c r="AC106" s="49" t="str">
        <f t="shared" si="289"/>
        <v>#N/A</v>
      </c>
      <c r="AF106" s="22"/>
      <c r="AG106" s="22"/>
      <c r="AH106" s="22"/>
      <c r="AI106" s="22"/>
      <c r="AJ106" s="22"/>
      <c r="AK106" s="23"/>
      <c r="AN106" s="24"/>
      <c r="AO106" s="24"/>
      <c r="AX106" s="25"/>
      <c r="BR106" s="25"/>
      <c r="CF106" s="27"/>
      <c r="CG106" s="27"/>
      <c r="CH106" s="27"/>
      <c r="CI106" s="27"/>
      <c r="CJ106" s="27"/>
      <c r="CK106" s="27"/>
    </row>
    <row r="107" ht="14.25" customHeight="1">
      <c r="A107" s="30" t="str">
        <f>Data2026!A111</f>
        <v>Xaloslots</v>
      </c>
      <c r="B107" s="9">
        <f>Data2026!B111</f>
        <v>46190</v>
      </c>
      <c r="C107" s="113" t="str">
        <f>Data2026!C111</f>
        <v>Fixed</v>
      </c>
      <c r="D107" s="12" t="str">
        <f>Data2026!D111</f>
        <v>Xaloslots</v>
      </c>
      <c r="E107" s="114" t="str">
        <f>Data2026!E111</f>
        <v>Nini_B</v>
      </c>
      <c r="F107" s="115">
        <f>Data2026!F111</f>
        <v>46190</v>
      </c>
      <c r="G107" s="113">
        <f>Data2026!G111</f>
        <v>20500</v>
      </c>
      <c r="H107" s="30" t="s">
        <v>114</v>
      </c>
      <c r="I107" s="117" t="str">
        <f>Data2026!I111</f>
        <v>Influence</v>
      </c>
      <c r="J107" s="115">
        <f>Data2026!J111</f>
        <v>46192</v>
      </c>
      <c r="K107" s="115">
        <f>Data2026!K111</f>
        <v>46224</v>
      </c>
      <c r="L107" s="43">
        <f t="shared" si="2"/>
        <v>0</v>
      </c>
      <c r="M107" s="43">
        <f t="shared" si="3"/>
        <v>0</v>
      </c>
      <c r="N107" s="43">
        <f t="shared" si="4"/>
        <v>0</v>
      </c>
      <c r="O107" s="43">
        <f t="shared" si="5"/>
        <v>0</v>
      </c>
      <c r="P107" s="43">
        <f t="shared" si="6"/>
        <v>0</v>
      </c>
      <c r="Q107" s="43">
        <f t="shared" si="7"/>
        <v>7687.5</v>
      </c>
      <c r="R107" s="49" t="str">
        <f t="shared" ref="R107:W107" si="290">SUMIF(Tableau!$A:$A,$A107,Tableau!E:E)</f>
        <v>#N/A</v>
      </c>
      <c r="S107" s="49" t="str">
        <f t="shared" si="290"/>
        <v>#N/A</v>
      </c>
      <c r="T107" s="49" t="str">
        <f t="shared" si="290"/>
        <v>#N/A</v>
      </c>
      <c r="U107" s="49" t="str">
        <f t="shared" si="290"/>
        <v>#N/A</v>
      </c>
      <c r="V107" s="49" t="str">
        <f t="shared" si="290"/>
        <v>#N/A</v>
      </c>
      <c r="W107" s="49" t="str">
        <f t="shared" si="290"/>
        <v>#N/A</v>
      </c>
      <c r="X107" s="49" t="str">
        <f t="shared" ref="X107:AC107" si="291">SUMIF(Tableau!$A:$A,$A107,Tableau!P:P)</f>
        <v>#N/A</v>
      </c>
      <c r="Y107" s="49" t="str">
        <f t="shared" si="291"/>
        <v>#N/A</v>
      </c>
      <c r="Z107" s="49" t="str">
        <f t="shared" si="291"/>
        <v>#N/A</v>
      </c>
      <c r="AA107" s="49" t="str">
        <f t="shared" si="291"/>
        <v>#N/A</v>
      </c>
      <c r="AB107" s="49" t="str">
        <f t="shared" si="291"/>
        <v>#N/A</v>
      </c>
      <c r="AC107" s="49" t="str">
        <f t="shared" si="291"/>
        <v>#N/A</v>
      </c>
      <c r="AF107" s="22"/>
      <c r="AG107" s="22"/>
      <c r="AH107" s="22"/>
      <c r="AI107" s="22"/>
      <c r="AJ107" s="22"/>
      <c r="AK107" s="23"/>
      <c r="AN107" s="24"/>
      <c r="AO107" s="24"/>
      <c r="AX107" s="25"/>
      <c r="BR107" s="25"/>
      <c r="CF107" s="27"/>
      <c r="CG107" s="27"/>
      <c r="CH107" s="27"/>
      <c r="CI107" s="27"/>
      <c r="CJ107" s="27"/>
      <c r="CK107" s="27"/>
    </row>
    <row r="108" ht="14.25" customHeight="1">
      <c r="A108" s="30" t="str">
        <f>Data2026!A112</f>
        <v>lucas99mzn</v>
      </c>
      <c r="B108" s="9">
        <f>Data2026!B112</f>
        <v>46190</v>
      </c>
      <c r="C108" s="113" t="str">
        <f>Data2026!C112</f>
        <v>CPA</v>
      </c>
      <c r="D108" s="12" t="str">
        <f>Data2026!D112</f>
        <v>lucas99mzn</v>
      </c>
      <c r="E108" s="114" t="str">
        <f>Data2026!E112</f>
        <v>Giorgi_Ts</v>
      </c>
      <c r="F108" s="115">
        <f>Data2026!F112</f>
        <v>46190</v>
      </c>
      <c r="G108" s="113">
        <f>Data2026!G112</f>
        <v>420</v>
      </c>
      <c r="H108" s="30" t="s">
        <v>114</v>
      </c>
      <c r="I108" s="117" t="str">
        <f>Data2026!I112</f>
        <v>Tipster</v>
      </c>
      <c r="J108" s="115">
        <f>Data2026!J112</f>
        <v>46143</v>
      </c>
      <c r="K108" s="115">
        <f>Data2026!K112</f>
        <v>46174</v>
      </c>
      <c r="L108" s="43">
        <f t="shared" si="2"/>
        <v>0</v>
      </c>
      <c r="M108" s="43">
        <f t="shared" si="3"/>
        <v>0</v>
      </c>
      <c r="N108" s="43">
        <f t="shared" si="4"/>
        <v>0</v>
      </c>
      <c r="O108" s="43">
        <f t="shared" si="5"/>
        <v>0</v>
      </c>
      <c r="P108" s="43">
        <f t="shared" si="6"/>
        <v>420</v>
      </c>
      <c r="Q108" s="43">
        <f t="shared" si="7"/>
        <v>0</v>
      </c>
      <c r="R108" s="49" t="str">
        <f t="shared" ref="R108:W108" si="292">SUMIF(Tableau!$A:$A,$A108,Tableau!E:E)</f>
        <v>#N/A</v>
      </c>
      <c r="S108" s="49" t="str">
        <f t="shared" si="292"/>
        <v>#N/A</v>
      </c>
      <c r="T108" s="49" t="str">
        <f t="shared" si="292"/>
        <v>#N/A</v>
      </c>
      <c r="U108" s="49" t="str">
        <f t="shared" si="292"/>
        <v>#N/A</v>
      </c>
      <c r="V108" s="49" t="str">
        <f t="shared" si="292"/>
        <v>#N/A</v>
      </c>
      <c r="W108" s="49" t="str">
        <f t="shared" si="292"/>
        <v>#N/A</v>
      </c>
      <c r="X108" s="49" t="str">
        <f t="shared" ref="X108:AC108" si="293">SUMIF(Tableau!$A:$A,$A108,Tableau!P:P)</f>
        <v>#N/A</v>
      </c>
      <c r="Y108" s="49" t="str">
        <f t="shared" si="293"/>
        <v>#N/A</v>
      </c>
      <c r="Z108" s="49" t="str">
        <f t="shared" si="293"/>
        <v>#N/A</v>
      </c>
      <c r="AA108" s="49" t="str">
        <f t="shared" si="293"/>
        <v>#N/A</v>
      </c>
      <c r="AB108" s="49" t="str">
        <f t="shared" si="293"/>
        <v>#N/A</v>
      </c>
      <c r="AC108" s="49" t="str">
        <f t="shared" si="293"/>
        <v>#N/A</v>
      </c>
      <c r="AF108" s="22"/>
      <c r="AG108" s="22"/>
      <c r="AH108" s="22"/>
      <c r="AI108" s="22"/>
      <c r="AJ108" s="22"/>
      <c r="AK108" s="23"/>
      <c r="AN108" s="24"/>
      <c r="AO108" s="24"/>
      <c r="AX108" s="25"/>
      <c r="BR108" s="25"/>
      <c r="CF108" s="27"/>
      <c r="CG108" s="27"/>
      <c r="CH108" s="27"/>
      <c r="CI108" s="27"/>
      <c r="CJ108" s="27"/>
      <c r="CK108" s="27"/>
    </row>
    <row r="109" ht="14.25" customHeight="1">
      <c r="A109" s="30" t="str">
        <f>Data2026!A113</f>
        <v>BojokoCA</v>
      </c>
      <c r="B109" s="9">
        <f>Data2026!B113</f>
        <v>46190</v>
      </c>
      <c r="C109" s="113" t="str">
        <f>Data2026!C113</f>
        <v>Fixed</v>
      </c>
      <c r="D109" s="12" t="str">
        <f>Data2026!D113</f>
        <v>BojokoCA</v>
      </c>
      <c r="E109" s="114" t="str">
        <f>Data2026!E113</f>
        <v>Elene_Gh</v>
      </c>
      <c r="F109" s="115">
        <f>Data2026!F113</f>
        <v>46190</v>
      </c>
      <c r="G109" s="113">
        <f>Data2026!G113</f>
        <v>1250</v>
      </c>
      <c r="H109" s="30" t="s">
        <v>114</v>
      </c>
      <c r="I109" s="117" t="str">
        <f>Data2026!I113</f>
        <v>SEO</v>
      </c>
      <c r="J109" s="115">
        <f>Data2026!J113</f>
        <v>46143</v>
      </c>
      <c r="K109" s="115">
        <f>Data2026!K113</f>
        <v>46173</v>
      </c>
      <c r="L109" s="43">
        <f t="shared" si="2"/>
        <v>0</v>
      </c>
      <c r="M109" s="43">
        <f t="shared" si="3"/>
        <v>0</v>
      </c>
      <c r="N109" s="43">
        <f t="shared" si="4"/>
        <v>0</v>
      </c>
      <c r="O109" s="43">
        <f t="shared" si="5"/>
        <v>0</v>
      </c>
      <c r="P109" s="43">
        <f t="shared" si="6"/>
        <v>1250</v>
      </c>
      <c r="Q109" s="43">
        <f t="shared" si="7"/>
        <v>0</v>
      </c>
      <c r="R109" s="49" t="str">
        <f t="shared" ref="R109:W109" si="294">SUMIF(Tableau!$A:$A,$A109,Tableau!E:E)</f>
        <v>#N/A</v>
      </c>
      <c r="S109" s="49" t="str">
        <f t="shared" si="294"/>
        <v>#N/A</v>
      </c>
      <c r="T109" s="49" t="str">
        <f t="shared" si="294"/>
        <v>#N/A</v>
      </c>
      <c r="U109" s="49" t="str">
        <f t="shared" si="294"/>
        <v>#N/A</v>
      </c>
      <c r="V109" s="49" t="str">
        <f t="shared" si="294"/>
        <v>#N/A</v>
      </c>
      <c r="W109" s="49" t="str">
        <f t="shared" si="294"/>
        <v>#N/A</v>
      </c>
      <c r="X109" s="49" t="str">
        <f t="shared" ref="X109:AC109" si="295">SUMIF(Tableau!$A:$A,$A109,Tableau!P:P)</f>
        <v>#N/A</v>
      </c>
      <c r="Y109" s="49" t="str">
        <f t="shared" si="295"/>
        <v>#N/A</v>
      </c>
      <c r="Z109" s="49" t="str">
        <f t="shared" si="295"/>
        <v>#N/A</v>
      </c>
      <c r="AA109" s="49" t="str">
        <f t="shared" si="295"/>
        <v>#N/A</v>
      </c>
      <c r="AB109" s="49" t="str">
        <f t="shared" si="295"/>
        <v>#N/A</v>
      </c>
      <c r="AC109" s="49" t="str">
        <f t="shared" si="295"/>
        <v>#N/A</v>
      </c>
      <c r="AF109" s="22"/>
      <c r="AG109" s="22"/>
      <c r="AH109" s="22"/>
      <c r="AI109" s="22"/>
      <c r="AJ109" s="22"/>
      <c r="AK109" s="23"/>
      <c r="AN109" s="24"/>
      <c r="AO109" s="24"/>
      <c r="AX109" s="25"/>
      <c r="BR109" s="25"/>
      <c r="CF109" s="27"/>
      <c r="CG109" s="27"/>
      <c r="CH109" s="27"/>
      <c r="CI109" s="27"/>
      <c r="CJ109" s="27"/>
      <c r="CK109" s="27"/>
    </row>
    <row r="110" ht="14.25" customHeight="1">
      <c r="A110" s="30" t="str">
        <f>Data2026!A114</f>
        <v>BojokoCA</v>
      </c>
      <c r="B110" s="9">
        <f>Data2026!B114</f>
        <v>46190</v>
      </c>
      <c r="C110" s="113" t="str">
        <f>Data2026!C114</f>
        <v>Fixed</v>
      </c>
      <c r="D110" s="12" t="str">
        <f>Data2026!D114</f>
        <v>BojokoCA</v>
      </c>
      <c r="E110" s="114" t="str">
        <f>Data2026!E114</f>
        <v>Elene_Gh</v>
      </c>
      <c r="F110" s="115">
        <f>Data2026!F114</f>
        <v>46190</v>
      </c>
      <c r="G110" s="113">
        <f>Data2026!G114</f>
        <v>1250</v>
      </c>
      <c r="H110" s="30" t="s">
        <v>114</v>
      </c>
      <c r="I110" s="117" t="str">
        <f>Data2026!I114</f>
        <v>SEO</v>
      </c>
      <c r="J110" s="115">
        <f>Data2026!J114</f>
        <v>46143</v>
      </c>
      <c r="K110" s="115">
        <f>Data2026!K114</f>
        <v>46173</v>
      </c>
      <c r="L110" s="43">
        <f t="shared" si="2"/>
        <v>0</v>
      </c>
      <c r="M110" s="43">
        <f t="shared" si="3"/>
        <v>0</v>
      </c>
      <c r="N110" s="43">
        <f t="shared" si="4"/>
        <v>0</v>
      </c>
      <c r="O110" s="43">
        <f t="shared" si="5"/>
        <v>0</v>
      </c>
      <c r="P110" s="43">
        <f t="shared" si="6"/>
        <v>1250</v>
      </c>
      <c r="Q110" s="43">
        <f t="shared" si="7"/>
        <v>0</v>
      </c>
      <c r="R110" s="49" t="str">
        <f t="shared" ref="R110:W110" si="296">SUMIF(Tableau!$A:$A,$A110,Tableau!E:E)</f>
        <v>#N/A</v>
      </c>
      <c r="S110" s="49" t="str">
        <f t="shared" si="296"/>
        <v>#N/A</v>
      </c>
      <c r="T110" s="49" t="str">
        <f t="shared" si="296"/>
        <v>#N/A</v>
      </c>
      <c r="U110" s="49" t="str">
        <f t="shared" si="296"/>
        <v>#N/A</v>
      </c>
      <c r="V110" s="49" t="str">
        <f t="shared" si="296"/>
        <v>#N/A</v>
      </c>
      <c r="W110" s="49" t="str">
        <f t="shared" si="296"/>
        <v>#N/A</v>
      </c>
      <c r="X110" s="49" t="str">
        <f t="shared" ref="X110:X120" si="298">SUMIF(Tableau!$A:$A,$A110,Tableau!P:P)</f>
        <v>#N/A</v>
      </c>
      <c r="AF110" s="22"/>
      <c r="AG110" s="22"/>
      <c r="AH110" s="22"/>
      <c r="AI110" s="22"/>
      <c r="AJ110" s="22"/>
      <c r="AK110" s="23"/>
      <c r="AN110" s="24"/>
      <c r="AO110" s="24"/>
      <c r="AX110" s="25"/>
      <c r="BR110" s="25"/>
      <c r="CF110" s="27"/>
      <c r="CG110" s="27"/>
      <c r="CH110" s="27"/>
      <c r="CI110" s="27"/>
      <c r="CJ110" s="27"/>
      <c r="CK110" s="27"/>
    </row>
    <row r="111" ht="14.25" customHeight="1">
      <c r="A111" s="30" t="str">
        <f>Data2026!A115</f>
        <v>crazyslotsvip</v>
      </c>
      <c r="B111" s="9">
        <f>Data2026!B115</f>
        <v>46191</v>
      </c>
      <c r="C111" s="113" t="str">
        <f>Data2026!C115</f>
        <v>Fixed</v>
      </c>
      <c r="D111" s="12" t="str">
        <f>Data2026!D115</f>
        <v>crazyslotsvip</v>
      </c>
      <c r="E111" s="114" t="str">
        <f>Data2026!E115</f>
        <v>Nini_B</v>
      </c>
      <c r="F111" s="115">
        <f>Data2026!F115</f>
        <v>46191</v>
      </c>
      <c r="G111" s="113">
        <f>Data2026!G115</f>
        <v>431.08</v>
      </c>
      <c r="H111" s="30" t="s">
        <v>45</v>
      </c>
      <c r="I111" s="117" t="str">
        <f>Data2026!I115</f>
        <v>Influence</v>
      </c>
      <c r="J111" s="115">
        <f>Data2026!J115</f>
        <v>46196</v>
      </c>
      <c r="K111" s="115">
        <f>Data2026!K115</f>
        <v>46226</v>
      </c>
      <c r="L111" s="43">
        <f t="shared" si="2"/>
        <v>0</v>
      </c>
      <c r="M111" s="43">
        <f t="shared" si="3"/>
        <v>0</v>
      </c>
      <c r="N111" s="43">
        <f t="shared" si="4"/>
        <v>0</v>
      </c>
      <c r="O111" s="43">
        <f t="shared" si="5"/>
        <v>0</v>
      </c>
      <c r="P111" s="43">
        <f t="shared" si="6"/>
        <v>0</v>
      </c>
      <c r="Q111" s="43">
        <f t="shared" si="7"/>
        <v>114.9546667</v>
      </c>
      <c r="R111" s="49" t="str">
        <f t="shared" ref="R111:W111" si="297">SUMIF(Tableau!$A:$A,$A111,Tableau!E:E)</f>
        <v>#N/A</v>
      </c>
      <c r="S111" s="49" t="str">
        <f t="shared" si="297"/>
        <v>#N/A</v>
      </c>
      <c r="T111" s="49" t="str">
        <f t="shared" si="297"/>
        <v>#N/A</v>
      </c>
      <c r="U111" s="49" t="str">
        <f t="shared" si="297"/>
        <v>#N/A</v>
      </c>
      <c r="V111" s="49" t="str">
        <f t="shared" si="297"/>
        <v>#N/A</v>
      </c>
      <c r="W111" s="49" t="str">
        <f t="shared" si="297"/>
        <v>#N/A</v>
      </c>
      <c r="X111" s="49" t="str">
        <f t="shared" si="298"/>
        <v>#N/A</v>
      </c>
      <c r="Y111" s="49" t="str">
        <f t="shared" ref="Y111:AC111" si="299">SUMIF(Tableau!$A:$A,$A111,Tableau!Q:Q)</f>
        <v>#N/A</v>
      </c>
      <c r="Z111" s="49" t="str">
        <f t="shared" si="299"/>
        <v>#N/A</v>
      </c>
      <c r="AA111" s="49" t="str">
        <f t="shared" si="299"/>
        <v>#N/A</v>
      </c>
      <c r="AB111" s="49" t="str">
        <f t="shared" si="299"/>
        <v>#N/A</v>
      </c>
      <c r="AC111" s="49" t="str">
        <f t="shared" si="299"/>
        <v>#N/A</v>
      </c>
      <c r="AF111" s="22"/>
      <c r="AG111" s="22"/>
      <c r="AH111" s="22"/>
      <c r="AI111" s="22"/>
      <c r="AJ111" s="22"/>
      <c r="AK111" s="23"/>
      <c r="AN111" s="24"/>
      <c r="AO111" s="24"/>
      <c r="AX111" s="25"/>
      <c r="BR111" s="25"/>
      <c r="CF111" s="27"/>
      <c r="CG111" s="27"/>
      <c r="CH111" s="27"/>
      <c r="CI111" s="27"/>
      <c r="CJ111" s="27"/>
      <c r="CK111" s="27"/>
    </row>
    <row r="112" ht="14.25" customHeight="1">
      <c r="A112" s="30" t="str">
        <f>Data2026!A116</f>
        <v>Chicharkick</v>
      </c>
      <c r="B112" s="9">
        <f>Data2026!B116</f>
        <v>46191</v>
      </c>
      <c r="C112" s="113" t="str">
        <f>Data2026!C116</f>
        <v>Fixed</v>
      </c>
      <c r="D112" s="12" t="str">
        <f>Data2026!D116</f>
        <v>Chicharkick</v>
      </c>
      <c r="E112" s="114" t="str">
        <f>Data2026!E116</f>
        <v>Ani_S</v>
      </c>
      <c r="F112" s="115">
        <f>Data2026!F116</f>
        <v>46191</v>
      </c>
      <c r="G112" s="113">
        <f>Data2026!G116</f>
        <v>107.77</v>
      </c>
      <c r="H112" s="30" t="s">
        <v>45</v>
      </c>
      <c r="I112" s="117" t="str">
        <f>Data2026!I116</f>
        <v>Influence</v>
      </c>
      <c r="J112" s="115">
        <f>Data2026!J116</f>
        <v>46193</v>
      </c>
      <c r="K112" s="115">
        <f>Data2026!K116</f>
        <v>46223</v>
      </c>
      <c r="L112" s="43">
        <f t="shared" si="2"/>
        <v>0</v>
      </c>
      <c r="M112" s="43">
        <f t="shared" si="3"/>
        <v>0</v>
      </c>
      <c r="N112" s="43">
        <f t="shared" si="4"/>
        <v>0</v>
      </c>
      <c r="O112" s="43">
        <f t="shared" si="5"/>
        <v>0</v>
      </c>
      <c r="P112" s="43">
        <f t="shared" si="6"/>
        <v>0</v>
      </c>
      <c r="Q112" s="43">
        <f t="shared" si="7"/>
        <v>39.51566667</v>
      </c>
      <c r="R112" s="49" t="str">
        <f t="shared" ref="R112:W112" si="300">SUMIF(Tableau!$A:$A,$A112,Tableau!E:E)</f>
        <v>#N/A</v>
      </c>
      <c r="S112" s="49" t="str">
        <f t="shared" si="300"/>
        <v>#N/A</v>
      </c>
      <c r="T112" s="49" t="str">
        <f t="shared" si="300"/>
        <v>#N/A</v>
      </c>
      <c r="U112" s="49" t="str">
        <f t="shared" si="300"/>
        <v>#N/A</v>
      </c>
      <c r="V112" s="49" t="str">
        <f t="shared" si="300"/>
        <v>#N/A</v>
      </c>
      <c r="W112" s="49" t="str">
        <f t="shared" si="300"/>
        <v>#N/A</v>
      </c>
      <c r="X112" s="49" t="str">
        <f t="shared" si="298"/>
        <v>#N/A</v>
      </c>
      <c r="Y112" s="49" t="str">
        <f t="shared" ref="Y112:AC112" si="301">SUMIF(Tableau!$A:$A,$A112,Tableau!Q:Q)</f>
        <v>#N/A</v>
      </c>
      <c r="Z112" s="49" t="str">
        <f t="shared" si="301"/>
        <v>#N/A</v>
      </c>
      <c r="AA112" s="49" t="str">
        <f t="shared" si="301"/>
        <v>#N/A</v>
      </c>
      <c r="AB112" s="49" t="str">
        <f t="shared" si="301"/>
        <v>#N/A</v>
      </c>
      <c r="AC112" s="49" t="str">
        <f t="shared" si="301"/>
        <v>#N/A</v>
      </c>
      <c r="AF112" s="22"/>
      <c r="AG112" s="22"/>
      <c r="AH112" s="22"/>
      <c r="AI112" s="22"/>
      <c r="AJ112" s="22"/>
      <c r="AK112" s="23"/>
      <c r="AN112" s="24"/>
      <c r="AO112" s="24"/>
      <c r="AX112" s="25"/>
      <c r="BR112" s="25"/>
      <c r="CF112" s="27"/>
      <c r="CG112" s="27"/>
      <c r="CH112" s="27"/>
      <c r="CI112" s="27"/>
      <c r="CJ112" s="27"/>
      <c r="CK112" s="27"/>
    </row>
    <row r="113" ht="14.25" customHeight="1">
      <c r="A113" s="30" t="str">
        <f>Data2026!A117</f>
        <v>kcvzin</v>
      </c>
      <c r="B113" s="9">
        <f>Data2026!B117</f>
        <v>46191</v>
      </c>
      <c r="C113" s="113" t="str">
        <f>Data2026!C117</f>
        <v>Fixed</v>
      </c>
      <c r="D113" s="12" t="str">
        <f>Data2026!D117</f>
        <v>kcvzin</v>
      </c>
      <c r="E113" s="114" t="str">
        <f>Data2026!E117</f>
        <v>Elene_Gh</v>
      </c>
      <c r="F113" s="115">
        <f>Data2026!F117</f>
        <v>46191</v>
      </c>
      <c r="G113" s="113">
        <f>Data2026!G117</f>
        <v>344.86</v>
      </c>
      <c r="H113" s="30" t="s">
        <v>45</v>
      </c>
      <c r="I113" s="117" t="str">
        <f>Data2026!I117</f>
        <v>Influence</v>
      </c>
      <c r="J113" s="115">
        <f>Data2026!J117</f>
        <v>46195</v>
      </c>
      <c r="K113" s="115">
        <f>Data2026!K117</f>
        <v>46225</v>
      </c>
      <c r="L113" s="43">
        <f t="shared" si="2"/>
        <v>0</v>
      </c>
      <c r="M113" s="43">
        <f t="shared" si="3"/>
        <v>0</v>
      </c>
      <c r="N113" s="43">
        <f t="shared" si="4"/>
        <v>0</v>
      </c>
      <c r="O113" s="43">
        <f t="shared" si="5"/>
        <v>0</v>
      </c>
      <c r="P113" s="43">
        <f t="shared" si="6"/>
        <v>0</v>
      </c>
      <c r="Q113" s="43">
        <f t="shared" si="7"/>
        <v>103.458</v>
      </c>
      <c r="R113" s="49" t="str">
        <f t="shared" ref="R113:W113" si="302">SUMIF(Tableau!$A:$A,$A113,Tableau!E:E)</f>
        <v>#N/A</v>
      </c>
      <c r="S113" s="49" t="str">
        <f t="shared" si="302"/>
        <v>#N/A</v>
      </c>
      <c r="T113" s="49" t="str">
        <f t="shared" si="302"/>
        <v>#N/A</v>
      </c>
      <c r="U113" s="49" t="str">
        <f t="shared" si="302"/>
        <v>#N/A</v>
      </c>
      <c r="V113" s="49" t="str">
        <f t="shared" si="302"/>
        <v>#N/A</v>
      </c>
      <c r="W113" s="49" t="str">
        <f t="shared" si="302"/>
        <v>#N/A</v>
      </c>
      <c r="X113" s="49" t="str">
        <f t="shared" si="298"/>
        <v>#N/A</v>
      </c>
      <c r="Y113" s="49" t="str">
        <f t="shared" ref="Y113:AC113" si="303">SUMIF(Tableau!$A:$A,$A113,Tableau!Q:Q)</f>
        <v>#N/A</v>
      </c>
      <c r="Z113" s="49" t="str">
        <f t="shared" si="303"/>
        <v>#N/A</v>
      </c>
      <c r="AA113" s="49" t="str">
        <f t="shared" si="303"/>
        <v>#N/A</v>
      </c>
      <c r="AB113" s="49" t="str">
        <f t="shared" si="303"/>
        <v>#N/A</v>
      </c>
      <c r="AC113" s="49" t="str">
        <f t="shared" si="303"/>
        <v>#N/A</v>
      </c>
      <c r="AF113" s="22"/>
      <c r="AG113" s="22"/>
      <c r="AH113" s="22"/>
      <c r="AI113" s="22"/>
      <c r="AJ113" s="22"/>
      <c r="AK113" s="23"/>
      <c r="AN113" s="24"/>
      <c r="AO113" s="24"/>
      <c r="AX113" s="25"/>
      <c r="BR113" s="25"/>
      <c r="CF113" s="27"/>
      <c r="CG113" s="27"/>
      <c r="CH113" s="27"/>
      <c r="CI113" s="27"/>
      <c r="CJ113" s="27"/>
      <c r="CK113" s="27"/>
    </row>
    <row r="114" ht="14.25" customHeight="1">
      <c r="A114" s="30" t="str">
        <f>Data2026!A118</f>
        <v>Makeberry-CPA</v>
      </c>
      <c r="B114" s="9">
        <f>Data2026!B118</f>
        <v>46191</v>
      </c>
      <c r="C114" s="113" t="str">
        <f>Data2026!C118</f>
        <v>CPA</v>
      </c>
      <c r="D114" s="12" t="str">
        <f>Data2026!D118</f>
        <v>Makeberry-CPA</v>
      </c>
      <c r="E114" s="114" t="str">
        <f>Data2026!E118</f>
        <v>Nini_B</v>
      </c>
      <c r="F114" s="115">
        <f>Data2026!F118</f>
        <v>46191</v>
      </c>
      <c r="G114" s="113">
        <f>Data2026!G118</f>
        <v>1200</v>
      </c>
      <c r="H114" s="30" t="s">
        <v>114</v>
      </c>
      <c r="I114" s="117" t="str">
        <f>Data2026!I118</f>
        <v>Meta</v>
      </c>
      <c r="J114" s="115">
        <f>Data2026!J118</f>
        <v>46135</v>
      </c>
      <c r="K114" s="115">
        <f>Data2026!K118</f>
        <v>46171</v>
      </c>
      <c r="L114" s="43">
        <f t="shared" si="2"/>
        <v>0</v>
      </c>
      <c r="M114" s="43">
        <f t="shared" si="3"/>
        <v>0</v>
      </c>
      <c r="N114" s="43">
        <f t="shared" si="4"/>
        <v>0</v>
      </c>
      <c r="O114" s="43">
        <f t="shared" si="5"/>
        <v>266.6666667</v>
      </c>
      <c r="P114" s="43">
        <f t="shared" si="6"/>
        <v>933.3333333</v>
      </c>
      <c r="Q114" s="43">
        <f t="shared" si="7"/>
        <v>0</v>
      </c>
      <c r="R114" s="49" t="str">
        <f t="shared" ref="R114:W114" si="304">SUMIF(Tableau!$A:$A,$A114,Tableau!E:E)</f>
        <v>#N/A</v>
      </c>
      <c r="S114" s="49" t="str">
        <f t="shared" si="304"/>
        <v>#N/A</v>
      </c>
      <c r="T114" s="49" t="str">
        <f t="shared" si="304"/>
        <v>#N/A</v>
      </c>
      <c r="U114" s="49" t="str">
        <f t="shared" si="304"/>
        <v>#N/A</v>
      </c>
      <c r="V114" s="49" t="str">
        <f t="shared" si="304"/>
        <v>#N/A</v>
      </c>
      <c r="W114" s="49" t="str">
        <f t="shared" si="304"/>
        <v>#N/A</v>
      </c>
      <c r="X114" s="49" t="str">
        <f t="shared" si="298"/>
        <v>#N/A</v>
      </c>
      <c r="Y114" s="49" t="str">
        <f t="shared" ref="Y114:AC114" si="305">SUMIF(Tableau!$A:$A,$A114,Tableau!Q:Q)</f>
        <v>#N/A</v>
      </c>
      <c r="Z114" s="49" t="str">
        <f t="shared" si="305"/>
        <v>#N/A</v>
      </c>
      <c r="AA114" s="49" t="str">
        <f t="shared" si="305"/>
        <v>#N/A</v>
      </c>
      <c r="AB114" s="49" t="str">
        <f t="shared" si="305"/>
        <v>#N/A</v>
      </c>
      <c r="AC114" s="49" t="str">
        <f t="shared" si="305"/>
        <v>#N/A</v>
      </c>
      <c r="AF114" s="22"/>
      <c r="AG114" s="22"/>
      <c r="AH114" s="22"/>
      <c r="AI114" s="22"/>
      <c r="AJ114" s="22"/>
      <c r="AK114" s="23"/>
      <c r="AN114" s="24"/>
      <c r="AO114" s="24"/>
      <c r="AX114" s="25"/>
      <c r="BR114" s="25"/>
      <c r="CF114" s="27"/>
      <c r="CG114" s="27"/>
      <c r="CH114" s="27"/>
      <c r="CI114" s="27"/>
      <c r="CJ114" s="27"/>
      <c r="CK114" s="27"/>
    </row>
    <row r="115" ht="14.25" customHeight="1">
      <c r="A115" s="30" t="str">
        <f>Data2026!A119</f>
        <v>depsum1</v>
      </c>
      <c r="B115" s="9">
        <f>Data2026!B119</f>
        <v>46191</v>
      </c>
      <c r="C115" s="113" t="str">
        <f>Data2026!C119</f>
        <v>CPA</v>
      </c>
      <c r="D115" s="12" t="str">
        <f>Data2026!D119</f>
        <v>depsum1</v>
      </c>
      <c r="E115" s="114" t="str">
        <f>Data2026!E119</f>
        <v>Nini_B</v>
      </c>
      <c r="F115" s="115">
        <f>Data2026!F119</f>
        <v>46191</v>
      </c>
      <c r="G115" s="113">
        <f>Data2026!G119</f>
        <v>190</v>
      </c>
      <c r="H115" s="30" t="s">
        <v>114</v>
      </c>
      <c r="I115" s="117" t="str">
        <f>Data2026!I119</f>
        <v>Meta</v>
      </c>
      <c r="J115" s="115">
        <f>Data2026!J119</f>
        <v>46128</v>
      </c>
      <c r="K115" s="115">
        <f>Data2026!K119</f>
        <v>46143</v>
      </c>
      <c r="L115" s="43">
        <f t="shared" si="2"/>
        <v>0</v>
      </c>
      <c r="M115" s="43">
        <f t="shared" si="3"/>
        <v>0</v>
      </c>
      <c r="N115" s="43">
        <f t="shared" si="4"/>
        <v>0</v>
      </c>
      <c r="O115" s="43">
        <f t="shared" si="5"/>
        <v>190</v>
      </c>
      <c r="P115" s="43">
        <f t="shared" si="6"/>
        <v>0</v>
      </c>
      <c r="Q115" s="43">
        <f t="shared" si="7"/>
        <v>0</v>
      </c>
      <c r="R115" s="49" t="str">
        <f t="shared" ref="R115:W115" si="306">SUMIF(Tableau!$A:$A,$A115,Tableau!E:E)</f>
        <v>#N/A</v>
      </c>
      <c r="S115" s="49" t="str">
        <f t="shared" si="306"/>
        <v>#N/A</v>
      </c>
      <c r="T115" s="49" t="str">
        <f t="shared" si="306"/>
        <v>#N/A</v>
      </c>
      <c r="U115" s="49" t="str">
        <f t="shared" si="306"/>
        <v>#N/A</v>
      </c>
      <c r="V115" s="49" t="str">
        <f t="shared" si="306"/>
        <v>#N/A</v>
      </c>
      <c r="W115" s="49" t="str">
        <f t="shared" si="306"/>
        <v>#N/A</v>
      </c>
      <c r="X115" s="49" t="str">
        <f t="shared" si="298"/>
        <v>#N/A</v>
      </c>
      <c r="Y115" s="49" t="str">
        <f t="shared" ref="Y115:AC115" si="307">SUMIF(Tableau!$A:$A,$A115,Tableau!Q:Q)</f>
        <v>#N/A</v>
      </c>
      <c r="Z115" s="49" t="str">
        <f t="shared" si="307"/>
        <v>#N/A</v>
      </c>
      <c r="AA115" s="49" t="str">
        <f t="shared" si="307"/>
        <v>#N/A</v>
      </c>
      <c r="AB115" s="49" t="str">
        <f t="shared" si="307"/>
        <v>#N/A</v>
      </c>
      <c r="AC115" s="49" t="str">
        <f t="shared" si="307"/>
        <v>#N/A</v>
      </c>
      <c r="AF115" s="22"/>
      <c r="AG115" s="22"/>
      <c r="AH115" s="22"/>
      <c r="AI115" s="22"/>
      <c r="AJ115" s="22"/>
      <c r="AK115" s="23"/>
      <c r="AN115" s="24"/>
      <c r="AO115" s="24"/>
      <c r="AX115" s="25"/>
      <c r="BR115" s="25"/>
      <c r="CF115" s="27"/>
      <c r="CG115" s="27"/>
      <c r="CH115" s="27"/>
      <c r="CI115" s="27"/>
      <c r="CJ115" s="27"/>
      <c r="CK115" s="27"/>
    </row>
    <row r="116" ht="14.25" customHeight="1">
      <c r="A116" s="30" t="str">
        <f>Data2026!A120</f>
        <v>depsum1</v>
      </c>
      <c r="B116" s="9">
        <f>Data2026!B120</f>
        <v>46191</v>
      </c>
      <c r="C116" s="11" t="str">
        <f>Data2026!C120</f>
        <v>CPA</v>
      </c>
      <c r="D116" s="12" t="str">
        <f>Data2026!D120</f>
        <v>depsum1</v>
      </c>
      <c r="E116" s="12" t="str">
        <f>Data2026!E120</f>
        <v>Nini_B</v>
      </c>
      <c r="F116" s="9">
        <f>Data2026!F120</f>
        <v>46191</v>
      </c>
      <c r="G116" s="11">
        <f>Data2026!G120</f>
        <v>190</v>
      </c>
      <c r="H116" s="30" t="s">
        <v>114</v>
      </c>
      <c r="I116" s="30" t="str">
        <f>Data2026!I120</f>
        <v>Meta</v>
      </c>
      <c r="J116" s="9">
        <f>Data2026!J120</f>
        <v>46128</v>
      </c>
      <c r="K116" s="9">
        <f>Data2026!K120</f>
        <v>46143</v>
      </c>
      <c r="L116" s="43">
        <f t="shared" si="2"/>
        <v>0</v>
      </c>
      <c r="M116" s="43">
        <f t="shared" si="3"/>
        <v>0</v>
      </c>
      <c r="N116" s="43">
        <f t="shared" si="4"/>
        <v>0</v>
      </c>
      <c r="O116" s="43">
        <f t="shared" si="5"/>
        <v>190</v>
      </c>
      <c r="P116" s="43">
        <f t="shared" si="6"/>
        <v>0</v>
      </c>
      <c r="Q116" s="43">
        <f t="shared" si="7"/>
        <v>0</v>
      </c>
      <c r="R116" s="49" t="str">
        <f t="shared" ref="R116:W116" si="308">SUMIF(Tableau!$A:$A,$A116,Tableau!E:E)</f>
        <v>#N/A</v>
      </c>
      <c r="S116" s="49" t="str">
        <f t="shared" si="308"/>
        <v>#N/A</v>
      </c>
      <c r="T116" s="49" t="str">
        <f t="shared" si="308"/>
        <v>#N/A</v>
      </c>
      <c r="U116" s="49" t="str">
        <f t="shared" si="308"/>
        <v>#N/A</v>
      </c>
      <c r="V116" s="49" t="str">
        <f t="shared" si="308"/>
        <v>#N/A</v>
      </c>
      <c r="W116" s="49" t="str">
        <f t="shared" si="308"/>
        <v>#N/A</v>
      </c>
      <c r="X116" s="49" t="str">
        <f t="shared" si="298"/>
        <v>#N/A</v>
      </c>
      <c r="Y116" s="49" t="str">
        <f t="shared" ref="Y116:AA116" si="309">SUMIF(Tableau!$A:$A,$A116,Tableau!Q:Q)</f>
        <v>#N/A</v>
      </c>
      <c r="Z116" s="49" t="str">
        <f t="shared" si="309"/>
        <v>#N/A</v>
      </c>
      <c r="AA116" s="49" t="str">
        <f t="shared" si="309"/>
        <v>#N/A</v>
      </c>
      <c r="AC116" s="49" t="str">
        <f>SUMIF(Tableau!$A:$A,$A116,Tableau!U:U)</f>
        <v>#N/A</v>
      </c>
      <c r="AF116" s="22"/>
      <c r="AG116" s="22"/>
      <c r="AH116" s="22"/>
      <c r="AI116" s="22"/>
      <c r="AJ116" s="22"/>
      <c r="AK116" s="23"/>
      <c r="AN116" s="24"/>
      <c r="AO116" s="24"/>
      <c r="AX116" s="25"/>
      <c r="BR116" s="25"/>
      <c r="CF116" s="27"/>
      <c r="CG116" s="27"/>
      <c r="CH116" s="27"/>
      <c r="CI116" s="27"/>
      <c r="CJ116" s="27"/>
      <c r="CK116" s="27"/>
    </row>
    <row r="117" ht="14.25" customHeight="1">
      <c r="A117" s="30" t="str">
        <f>Data2026!A121</f>
        <v>digitalworld</v>
      </c>
      <c r="B117" s="9">
        <f>Data2026!B121</f>
        <v>46143</v>
      </c>
      <c r="C117" s="9" t="str">
        <f>Data2026!C121</f>
        <v>Fixed</v>
      </c>
      <c r="D117" s="12" t="str">
        <f>Data2026!D121</f>
        <v>digitalworld</v>
      </c>
      <c r="E117" s="12" t="str">
        <f>Data2026!E121</f>
        <v>Elene_Gh</v>
      </c>
      <c r="F117" s="9">
        <f>Data2026!F121</f>
        <v>46082</v>
      </c>
      <c r="G117" s="11">
        <f>Data2026!G121</f>
        <v>12000</v>
      </c>
      <c r="H117" s="30" t="s">
        <v>114</v>
      </c>
      <c r="I117" s="30" t="str">
        <f>Data2026!I121</f>
        <v>SEO</v>
      </c>
      <c r="J117" s="9">
        <f>Data2026!J121</f>
        <v>46082</v>
      </c>
      <c r="K117" s="9">
        <f>Data2026!K121</f>
        <v>46234</v>
      </c>
      <c r="L117" s="43">
        <f t="shared" si="2"/>
        <v>0</v>
      </c>
      <c r="M117" s="43">
        <f t="shared" si="3"/>
        <v>0</v>
      </c>
      <c r="N117" s="43">
        <f t="shared" si="4"/>
        <v>2447.368421</v>
      </c>
      <c r="O117" s="43">
        <f t="shared" si="5"/>
        <v>2368.421053</v>
      </c>
      <c r="P117" s="43">
        <f t="shared" si="6"/>
        <v>2447.368421</v>
      </c>
      <c r="Q117" s="43">
        <f t="shared" si="7"/>
        <v>2368.421053</v>
      </c>
      <c r="R117" s="49" t="str">
        <f t="shared" ref="R117:W117" si="310">SUMIF(Tableau!$A:$A,$A117,Tableau!E:E)</f>
        <v>#N/A</v>
      </c>
      <c r="S117" s="49" t="str">
        <f t="shared" si="310"/>
        <v>#N/A</v>
      </c>
      <c r="T117" s="49" t="str">
        <f t="shared" si="310"/>
        <v>#N/A</v>
      </c>
      <c r="U117" s="49" t="str">
        <f t="shared" si="310"/>
        <v>#N/A</v>
      </c>
      <c r="V117" s="49" t="str">
        <f t="shared" si="310"/>
        <v>#N/A</v>
      </c>
      <c r="W117" s="49" t="str">
        <f t="shared" si="310"/>
        <v>#N/A</v>
      </c>
      <c r="X117" s="49" t="str">
        <f t="shared" si="298"/>
        <v>#N/A</v>
      </c>
      <c r="Y117" s="49" t="str">
        <f t="shared" ref="Y117:AC117" si="311">SUMIF(Tableau!$A:$A,$A117,Tableau!Q:Q)</f>
        <v>#N/A</v>
      </c>
      <c r="Z117" s="49" t="str">
        <f t="shared" si="311"/>
        <v>#N/A</v>
      </c>
      <c r="AA117" s="49" t="str">
        <f t="shared" si="311"/>
        <v>#N/A</v>
      </c>
      <c r="AB117" s="49" t="str">
        <f t="shared" si="311"/>
        <v>#N/A</v>
      </c>
      <c r="AC117" s="49" t="str">
        <f t="shared" si="311"/>
        <v>#N/A</v>
      </c>
      <c r="AF117" s="22"/>
      <c r="AG117" s="22"/>
      <c r="AH117" s="22"/>
      <c r="AI117" s="22"/>
      <c r="AJ117" s="22"/>
      <c r="AK117" s="23"/>
      <c r="AN117" s="24"/>
      <c r="AO117" s="24"/>
      <c r="AX117" s="25"/>
      <c r="BR117" s="25"/>
      <c r="CF117" s="27"/>
      <c r="CG117" s="27"/>
      <c r="CH117" s="27"/>
      <c r="CI117" s="27"/>
      <c r="CJ117" s="27"/>
      <c r="CK117" s="27"/>
    </row>
    <row r="118" ht="14.25" customHeight="1">
      <c r="A118" s="30" t="str">
        <f>Data2026!A122</f>
        <v>Slavstips</v>
      </c>
      <c r="B118" s="9">
        <f>Data2026!B122</f>
        <v>46143</v>
      </c>
      <c r="C118" s="9" t="str">
        <f>Data2026!C122</f>
        <v>CPA</v>
      </c>
      <c r="D118" s="12" t="str">
        <f>Data2026!D122</f>
        <v>Slavstips</v>
      </c>
      <c r="E118" s="12" t="str">
        <f>Data2026!E122</f>
        <v>Giorgi_Ts</v>
      </c>
      <c r="F118" s="9">
        <f>Data2026!F122</f>
        <v>46143</v>
      </c>
      <c r="G118" s="11">
        <f>Data2026!G122</f>
        <v>2545.42</v>
      </c>
      <c r="H118" s="30" t="s">
        <v>114</v>
      </c>
      <c r="I118" s="30" t="str">
        <f>Data2026!I122</f>
        <v>Tipster</v>
      </c>
      <c r="J118" s="9">
        <f>Data2026!J122</f>
        <v>46143</v>
      </c>
      <c r="K118" s="9">
        <f>Data2026!K122</f>
        <v>46143</v>
      </c>
      <c r="L118" s="43">
        <f t="shared" si="2"/>
        <v>0</v>
      </c>
      <c r="M118" s="43">
        <f t="shared" si="3"/>
        <v>0</v>
      </c>
      <c r="N118" s="43">
        <f t="shared" si="4"/>
        <v>0</v>
      </c>
      <c r="O118" s="43">
        <f t="shared" si="5"/>
        <v>0</v>
      </c>
      <c r="P118" s="43">
        <f t="shared" si="6"/>
        <v>2545.42</v>
      </c>
      <c r="Q118" s="43">
        <f t="shared" si="7"/>
        <v>0</v>
      </c>
      <c r="R118" s="49" t="str">
        <f t="shared" ref="R118:W118" si="312">SUMIF(Tableau!$A:$A,$A118,Tableau!E:E)</f>
        <v>#N/A</v>
      </c>
      <c r="S118" s="49" t="str">
        <f t="shared" si="312"/>
        <v>#N/A</v>
      </c>
      <c r="T118" s="49" t="str">
        <f t="shared" si="312"/>
        <v>#N/A</v>
      </c>
      <c r="U118" s="49" t="str">
        <f t="shared" si="312"/>
        <v>#N/A</v>
      </c>
      <c r="V118" s="49" t="str">
        <f t="shared" si="312"/>
        <v>#N/A</v>
      </c>
      <c r="W118" s="49" t="str">
        <f t="shared" si="312"/>
        <v>#N/A</v>
      </c>
      <c r="X118" s="49" t="str">
        <f t="shared" si="298"/>
        <v>#N/A</v>
      </c>
      <c r="Y118" s="49" t="str">
        <f t="shared" ref="Y118:AC118" si="313">SUMIF(Tableau!$A:$A,$A118,Tableau!Q:Q)</f>
        <v>#N/A</v>
      </c>
      <c r="Z118" s="49" t="str">
        <f t="shared" si="313"/>
        <v>#N/A</v>
      </c>
      <c r="AA118" s="49" t="str">
        <f t="shared" si="313"/>
        <v>#N/A</v>
      </c>
      <c r="AB118" s="49" t="str">
        <f t="shared" si="313"/>
        <v>#N/A</v>
      </c>
      <c r="AC118" s="49" t="str">
        <f t="shared" si="313"/>
        <v>#N/A</v>
      </c>
      <c r="AF118" s="22"/>
      <c r="AG118" s="22"/>
      <c r="AH118" s="22"/>
      <c r="AI118" s="22"/>
      <c r="AJ118" s="22"/>
      <c r="AK118" s="23"/>
      <c r="AN118" s="24"/>
      <c r="AO118" s="24"/>
      <c r="AX118" s="25"/>
      <c r="BR118" s="25"/>
      <c r="CF118" s="27"/>
      <c r="CG118" s="27"/>
      <c r="CH118" s="27"/>
      <c r="CI118" s="27"/>
      <c r="CJ118" s="27"/>
      <c r="CK118" s="27"/>
    </row>
    <row r="119" ht="14.25" customHeight="1">
      <c r="A119" s="30" t="str">
        <f>Data2026!A123</f>
        <v>predicto</v>
      </c>
      <c r="B119" s="9">
        <f>Data2026!B123</f>
        <v>46150</v>
      </c>
      <c r="C119" s="9" t="str">
        <f>Data2026!C123</f>
        <v>CPA</v>
      </c>
      <c r="D119" s="12" t="str">
        <f>Data2026!D123</f>
        <v>predicto</v>
      </c>
      <c r="E119" s="12" t="str">
        <f>Data2026!E123</f>
        <v>Giorgi_Ts</v>
      </c>
      <c r="F119" s="9">
        <f>Data2026!F123</f>
        <v>46150</v>
      </c>
      <c r="G119" s="11">
        <f>Data2026!G123</f>
        <v>1000</v>
      </c>
      <c r="H119" s="30" t="s">
        <v>114</v>
      </c>
      <c r="I119" s="30" t="str">
        <f>Data2026!I123</f>
        <v>Tipster</v>
      </c>
      <c r="J119" s="9">
        <f>Data2026!J123</f>
        <v>46150</v>
      </c>
      <c r="K119" s="9">
        <f>Data2026!K123</f>
        <v>46150</v>
      </c>
      <c r="L119" s="43">
        <f t="shared" si="2"/>
        <v>0</v>
      </c>
      <c r="M119" s="43">
        <f t="shared" si="3"/>
        <v>0</v>
      </c>
      <c r="N119" s="43">
        <f t="shared" si="4"/>
        <v>0</v>
      </c>
      <c r="O119" s="43">
        <f t="shared" si="5"/>
        <v>0</v>
      </c>
      <c r="P119" s="43">
        <f t="shared" si="6"/>
        <v>1000</v>
      </c>
      <c r="Q119" s="43">
        <f t="shared" si="7"/>
        <v>0</v>
      </c>
      <c r="R119" s="49" t="str">
        <f t="shared" ref="R119:W119" si="314">SUMIF(Tableau!$A:$A,$A119,Tableau!E:E)</f>
        <v>#N/A</v>
      </c>
      <c r="S119" s="49" t="str">
        <f t="shared" si="314"/>
        <v>#N/A</v>
      </c>
      <c r="T119" s="49" t="str">
        <f t="shared" si="314"/>
        <v>#N/A</v>
      </c>
      <c r="U119" s="49" t="str">
        <f t="shared" si="314"/>
        <v>#N/A</v>
      </c>
      <c r="V119" s="49" t="str">
        <f t="shared" si="314"/>
        <v>#N/A</v>
      </c>
      <c r="W119" s="49" t="str">
        <f t="shared" si="314"/>
        <v>#N/A</v>
      </c>
      <c r="X119" s="49" t="str">
        <f t="shared" si="298"/>
        <v>#N/A</v>
      </c>
      <c r="Y119" s="49" t="str">
        <f t="shared" ref="Y119:AC119" si="315">SUMIF(Tableau!$A:$A,$A119,Tableau!Q:Q)</f>
        <v>#N/A</v>
      </c>
      <c r="Z119" s="49" t="str">
        <f t="shared" si="315"/>
        <v>#N/A</v>
      </c>
      <c r="AA119" s="49" t="str">
        <f t="shared" si="315"/>
        <v>#N/A</v>
      </c>
      <c r="AB119" s="49" t="str">
        <f t="shared" si="315"/>
        <v>#N/A</v>
      </c>
      <c r="AC119" s="49" t="str">
        <f t="shared" si="315"/>
        <v>#N/A</v>
      </c>
      <c r="AF119" s="22"/>
      <c r="AG119" s="22"/>
      <c r="AH119" s="22"/>
      <c r="AI119" s="22"/>
      <c r="AJ119" s="22"/>
      <c r="AK119" s="23"/>
      <c r="AN119" s="24"/>
      <c r="AO119" s="24"/>
      <c r="AX119" s="25"/>
      <c r="BR119" s="25"/>
      <c r="CF119" s="27"/>
      <c r="CG119" s="27"/>
      <c r="CH119" s="27"/>
      <c r="CI119" s="27"/>
      <c r="CJ119" s="27"/>
      <c r="CK119" s="27"/>
    </row>
    <row r="120" ht="14.25" customHeight="1">
      <c r="A120" s="30" t="str">
        <f>Data2026!A124</f>
        <v>BetDeveloper</v>
      </c>
      <c r="B120" s="9">
        <f>Data2026!B124</f>
        <v>46142</v>
      </c>
      <c r="C120" s="9" t="str">
        <f>Data2026!C124</f>
        <v>CPA</v>
      </c>
      <c r="D120" s="12" t="str">
        <f>Data2026!D124</f>
        <v>BetDeveloper</v>
      </c>
      <c r="E120" s="12" t="str">
        <f>Data2026!E124</f>
        <v>Giorgi_Ts</v>
      </c>
      <c r="F120" s="9">
        <f>Data2026!F124</f>
        <v>46142</v>
      </c>
      <c r="G120" s="11">
        <f>Data2026!G124</f>
        <v>683.7</v>
      </c>
      <c r="H120" s="30" t="s">
        <v>114</v>
      </c>
      <c r="I120" s="30" t="str">
        <f>Data2026!I124</f>
        <v>Tipster</v>
      </c>
      <c r="J120" s="9">
        <f>Data2026!J124</f>
        <v>46143</v>
      </c>
      <c r="K120" s="9">
        <f>Data2026!K124</f>
        <v>46143</v>
      </c>
      <c r="L120" s="43">
        <f t="shared" si="2"/>
        <v>0</v>
      </c>
      <c r="M120" s="43">
        <f t="shared" si="3"/>
        <v>0</v>
      </c>
      <c r="N120" s="43">
        <f t="shared" si="4"/>
        <v>0</v>
      </c>
      <c r="O120" s="43">
        <f t="shared" si="5"/>
        <v>0</v>
      </c>
      <c r="P120" s="43">
        <f t="shared" si="6"/>
        <v>683.7</v>
      </c>
      <c r="Q120" s="43">
        <f t="shared" si="7"/>
        <v>0</v>
      </c>
      <c r="R120" s="49" t="str">
        <f t="shared" ref="R120:W120" si="316">SUMIF(Tableau!$A:$A,$A120,Tableau!E:E)</f>
        <v>#N/A</v>
      </c>
      <c r="S120" s="49" t="str">
        <f t="shared" si="316"/>
        <v>#N/A</v>
      </c>
      <c r="T120" s="49" t="str">
        <f t="shared" si="316"/>
        <v>#N/A</v>
      </c>
      <c r="U120" s="49" t="str">
        <f t="shared" si="316"/>
        <v>#N/A</v>
      </c>
      <c r="V120" s="49" t="str">
        <f t="shared" si="316"/>
        <v>#N/A</v>
      </c>
      <c r="W120" s="49" t="str">
        <f t="shared" si="316"/>
        <v>#N/A</v>
      </c>
      <c r="X120" s="49" t="str">
        <f t="shared" si="298"/>
        <v>#N/A</v>
      </c>
      <c r="Y120" s="49" t="str">
        <f t="shared" ref="Y120:AC120" si="317">SUMIF(Tableau!$A:$A,$A120,Tableau!Q:Q)</f>
        <v>#N/A</v>
      </c>
      <c r="Z120" s="49" t="str">
        <f t="shared" si="317"/>
        <v>#N/A</v>
      </c>
      <c r="AA120" s="49" t="str">
        <f t="shared" si="317"/>
        <v>#N/A</v>
      </c>
      <c r="AB120" s="49" t="str">
        <f t="shared" si="317"/>
        <v>#N/A</v>
      </c>
      <c r="AC120" s="49" t="str">
        <f t="shared" si="317"/>
        <v>#N/A</v>
      </c>
      <c r="AF120" s="22"/>
      <c r="AG120" s="22"/>
      <c r="AH120" s="22"/>
      <c r="AI120" s="22"/>
      <c r="AJ120" s="22"/>
      <c r="AK120" s="23"/>
      <c r="AN120" s="24"/>
      <c r="AO120" s="24"/>
      <c r="AX120" s="25"/>
      <c r="BR120" s="25"/>
      <c r="CF120" s="27"/>
      <c r="CG120" s="27"/>
      <c r="CH120" s="27"/>
      <c r="CI120" s="27"/>
      <c r="CJ120" s="27"/>
      <c r="CK120" s="27"/>
    </row>
    <row r="121" ht="14.25" customHeight="1">
      <c r="A121" s="30" t="str">
        <f>Data2026!A125</f>
        <v>Media</v>
      </c>
      <c r="B121" s="9">
        <f>Data2026!B125</f>
        <v>46023</v>
      </c>
      <c r="C121" s="11" t="str">
        <f>Data2026!C125</f>
        <v>Media Buying</v>
      </c>
      <c r="D121" s="12" t="str">
        <f>Data2026!D125</f>
        <v>Media</v>
      </c>
      <c r="E121" s="12" t="str">
        <f>Data2026!E125</f>
        <v/>
      </c>
      <c r="F121" s="9">
        <f>Data2026!F125</f>
        <v>46023</v>
      </c>
      <c r="G121" s="11">
        <v>8486.0</v>
      </c>
      <c r="H121" s="30" t="s">
        <v>114</v>
      </c>
      <c r="I121" s="8" t="s">
        <v>214</v>
      </c>
      <c r="J121" s="9">
        <f>Data2026!J125</f>
        <v>46023</v>
      </c>
      <c r="K121" s="9">
        <f>Data2026!K125</f>
        <v>46053</v>
      </c>
      <c r="L121" s="43">
        <f t="shared" si="2"/>
        <v>8486</v>
      </c>
      <c r="M121" s="43">
        <f t="shared" si="3"/>
        <v>0</v>
      </c>
      <c r="N121" s="43">
        <f t="shared" si="4"/>
        <v>0</v>
      </c>
      <c r="O121" s="43">
        <f t="shared" si="5"/>
        <v>0</v>
      </c>
      <c r="P121" s="43">
        <f t="shared" si="6"/>
        <v>0</v>
      </c>
      <c r="Q121" s="43">
        <f t="shared" si="7"/>
        <v>0</v>
      </c>
      <c r="R121" s="49">
        <v>344.0</v>
      </c>
      <c r="S121" s="49">
        <v>0.0</v>
      </c>
      <c r="T121" s="49">
        <v>0.0</v>
      </c>
      <c r="U121" s="49">
        <v>0.0</v>
      </c>
      <c r="V121" s="49">
        <v>0.0</v>
      </c>
      <c r="W121" s="49">
        <v>0.0</v>
      </c>
      <c r="X121" s="49">
        <v>772.0</v>
      </c>
      <c r="Y121" s="49" t="str">
        <f t="shared" ref="Y121:AC121" si="318">SUMIF(Tableau!$A:$A,$A121,Tableau!Q:Q)</f>
        <v>#N/A</v>
      </c>
      <c r="Z121" s="49" t="str">
        <f t="shared" si="318"/>
        <v>#N/A</v>
      </c>
      <c r="AA121" s="49" t="str">
        <f t="shared" si="318"/>
        <v>#N/A</v>
      </c>
      <c r="AB121" s="49" t="str">
        <f t="shared" si="318"/>
        <v>#N/A</v>
      </c>
      <c r="AC121" s="49" t="str">
        <f t="shared" si="318"/>
        <v>#N/A</v>
      </c>
      <c r="AF121" s="22"/>
      <c r="AG121" s="22"/>
      <c r="AH121" s="22"/>
      <c r="AI121" s="22"/>
      <c r="AJ121" s="22"/>
      <c r="AK121" s="23"/>
      <c r="AN121" s="24"/>
      <c r="AO121" s="24"/>
      <c r="AX121" s="25"/>
      <c r="BR121" s="25"/>
      <c r="CF121" s="27"/>
      <c r="CG121" s="27"/>
      <c r="CH121" s="27"/>
      <c r="CI121" s="27"/>
      <c r="CJ121" s="27"/>
      <c r="CK121" s="27"/>
    </row>
    <row r="122" ht="14.25" customHeight="1">
      <c r="A122" s="30" t="str">
        <f>Data2026!A126</f>
        <v>Media</v>
      </c>
      <c r="B122" s="9">
        <f>Data2026!B126</f>
        <v>46054</v>
      </c>
      <c r="C122" s="11" t="str">
        <f>Data2026!C126</f>
        <v>Media Buying</v>
      </c>
      <c r="D122" s="12" t="str">
        <f>Data2026!D126</f>
        <v>Media</v>
      </c>
      <c r="E122" s="12" t="str">
        <f>Data2026!E126</f>
        <v/>
      </c>
      <c r="F122" s="9">
        <f>Data2026!F126</f>
        <v>46054</v>
      </c>
      <c r="G122" s="11">
        <v>24225.0</v>
      </c>
      <c r="H122" s="30" t="s">
        <v>114</v>
      </c>
      <c r="I122" s="8" t="s">
        <v>214</v>
      </c>
      <c r="J122" s="9">
        <f>Data2026!J126</f>
        <v>46054</v>
      </c>
      <c r="K122" s="9">
        <f>Data2026!K126</f>
        <v>46081</v>
      </c>
      <c r="L122" s="43">
        <f t="shared" si="2"/>
        <v>0</v>
      </c>
      <c r="M122" s="43">
        <f t="shared" si="3"/>
        <v>24225</v>
      </c>
      <c r="N122" s="43">
        <f t="shared" si="4"/>
        <v>0</v>
      </c>
      <c r="O122" s="43">
        <f t="shared" si="5"/>
        <v>0</v>
      </c>
      <c r="P122" s="43">
        <f t="shared" si="6"/>
        <v>0</v>
      </c>
      <c r="Q122" s="43">
        <f t="shared" si="7"/>
        <v>0</v>
      </c>
      <c r="R122" s="49">
        <v>0.0</v>
      </c>
      <c r="S122" s="49">
        <v>297.0</v>
      </c>
      <c r="T122" s="49">
        <v>0.0</v>
      </c>
      <c r="U122" s="49">
        <v>0.0</v>
      </c>
      <c r="V122" s="49">
        <v>0.0</v>
      </c>
      <c r="W122" s="49">
        <v>0.0</v>
      </c>
      <c r="Y122" s="49">
        <v>-17898.0</v>
      </c>
      <c r="AF122" s="22"/>
      <c r="AG122" s="22"/>
      <c r="AH122" s="22"/>
      <c r="AI122" s="22"/>
      <c r="AJ122" s="22"/>
      <c r="AK122" s="23"/>
      <c r="AN122" s="24"/>
      <c r="AO122" s="24"/>
      <c r="AX122" s="25"/>
      <c r="BR122" s="25"/>
      <c r="CF122" s="27"/>
      <c r="CG122" s="27"/>
      <c r="CH122" s="27"/>
      <c r="CI122" s="27"/>
      <c r="CJ122" s="27"/>
      <c r="CK122" s="27"/>
    </row>
    <row r="123" ht="14.25" customHeight="1">
      <c r="A123" s="30" t="str">
        <f>Data2026!A127</f>
        <v>Media</v>
      </c>
      <c r="B123" s="9">
        <f>Data2026!B127</f>
        <v>46082</v>
      </c>
      <c r="C123" s="11" t="str">
        <f>Data2026!C127</f>
        <v>Media Buying</v>
      </c>
      <c r="D123" s="12" t="str">
        <f>Data2026!D127</f>
        <v>Media</v>
      </c>
      <c r="E123" s="12" t="str">
        <f>Data2026!E127</f>
        <v/>
      </c>
      <c r="F123" s="9">
        <f>Data2026!F127</f>
        <v>46082</v>
      </c>
      <c r="G123" s="11">
        <v>15927.0</v>
      </c>
      <c r="H123" s="30" t="s">
        <v>114</v>
      </c>
      <c r="I123" s="8" t="s">
        <v>214</v>
      </c>
      <c r="J123" s="9">
        <f>Data2026!J127</f>
        <v>46082</v>
      </c>
      <c r="K123" s="9">
        <f>Data2026!K127</f>
        <v>46112</v>
      </c>
      <c r="L123" s="43">
        <f t="shared" si="2"/>
        <v>0</v>
      </c>
      <c r="M123" s="43">
        <f t="shared" si="3"/>
        <v>0</v>
      </c>
      <c r="N123" s="43">
        <f t="shared" si="4"/>
        <v>15927</v>
      </c>
      <c r="O123" s="43">
        <f t="shared" si="5"/>
        <v>0</v>
      </c>
      <c r="P123" s="43">
        <f t="shared" si="6"/>
        <v>0</v>
      </c>
      <c r="Q123" s="43">
        <f t="shared" si="7"/>
        <v>0</v>
      </c>
      <c r="R123" s="49">
        <v>0.0</v>
      </c>
      <c r="S123" s="49">
        <v>0.0</v>
      </c>
      <c r="T123" s="49">
        <v>331.0</v>
      </c>
      <c r="U123" s="49">
        <v>0.0</v>
      </c>
      <c r="V123" s="49">
        <v>0.0</v>
      </c>
      <c r="W123" s="49">
        <v>0.0</v>
      </c>
      <c r="Z123" s="49">
        <v>191020.0</v>
      </c>
      <c r="AF123" s="22"/>
      <c r="AG123" s="22"/>
      <c r="AH123" s="22"/>
      <c r="AI123" s="22"/>
      <c r="AJ123" s="22"/>
      <c r="AK123" s="23"/>
      <c r="AN123" s="24"/>
      <c r="AO123" s="24"/>
      <c r="AX123" s="25"/>
      <c r="BR123" s="25"/>
      <c r="CF123" s="27"/>
      <c r="CG123" s="27"/>
      <c r="CH123" s="27"/>
      <c r="CI123" s="27"/>
      <c r="CJ123" s="27"/>
      <c r="CK123" s="27"/>
    </row>
    <row r="124" ht="14.25" customHeight="1">
      <c r="A124" s="30" t="str">
        <f>Data2026!A128</f>
        <v>Media</v>
      </c>
      <c r="B124" s="9">
        <f>Data2026!B128</f>
        <v>46113</v>
      </c>
      <c r="C124" s="11" t="str">
        <f>Data2026!C128</f>
        <v>Media Buying</v>
      </c>
      <c r="D124" s="12" t="str">
        <f>Data2026!D128</f>
        <v>Media</v>
      </c>
      <c r="E124" s="12" t="str">
        <f>Data2026!E128</f>
        <v/>
      </c>
      <c r="F124" s="9">
        <f>Data2026!F128</f>
        <v>46113</v>
      </c>
      <c r="G124" s="11">
        <f>Data2026!G128</f>
        <v>30465.2</v>
      </c>
      <c r="H124" s="30" t="s">
        <v>114</v>
      </c>
      <c r="I124" s="8" t="s">
        <v>214</v>
      </c>
      <c r="J124" s="9">
        <f>Data2026!J128</f>
        <v>46113</v>
      </c>
      <c r="K124" s="9">
        <f>Data2026!K128</f>
        <v>46142</v>
      </c>
      <c r="L124" s="43">
        <f t="shared" si="2"/>
        <v>0</v>
      </c>
      <c r="M124" s="43">
        <f t="shared" si="3"/>
        <v>0</v>
      </c>
      <c r="N124" s="43">
        <f t="shared" si="4"/>
        <v>0</v>
      </c>
      <c r="O124" s="43">
        <f t="shared" si="5"/>
        <v>30465.2</v>
      </c>
      <c r="P124" s="43">
        <f t="shared" si="6"/>
        <v>0</v>
      </c>
      <c r="Q124" s="43">
        <f t="shared" si="7"/>
        <v>0</v>
      </c>
      <c r="R124" s="49">
        <v>0.0</v>
      </c>
      <c r="S124" s="49">
        <v>0.0</v>
      </c>
      <c r="T124" s="49">
        <v>0.0</v>
      </c>
      <c r="U124" s="49">
        <v>310.0</v>
      </c>
      <c r="V124" s="49">
        <v>0.0</v>
      </c>
      <c r="W124" s="49">
        <v>0.0</v>
      </c>
      <c r="AA124" s="49">
        <v>110684.0</v>
      </c>
      <c r="AF124" s="22"/>
      <c r="AG124" s="22"/>
      <c r="AH124" s="22"/>
      <c r="AI124" s="22"/>
      <c r="AJ124" s="22"/>
      <c r="AK124" s="23"/>
      <c r="AN124" s="24"/>
      <c r="AO124" s="24"/>
      <c r="AX124" s="25"/>
      <c r="BR124" s="25"/>
      <c r="CF124" s="27"/>
      <c r="CG124" s="27"/>
      <c r="CH124" s="27"/>
      <c r="CI124" s="27"/>
      <c r="CJ124" s="27"/>
      <c r="CK124" s="27"/>
    </row>
    <row r="125" ht="14.25" customHeight="1">
      <c r="A125" s="30" t="str">
        <f>Data2026!A129</f>
        <v>Media</v>
      </c>
      <c r="B125" s="9">
        <f>Data2026!B129</f>
        <v>46143</v>
      </c>
      <c r="C125" s="11" t="str">
        <f>Data2026!C129</f>
        <v>Media Buying</v>
      </c>
      <c r="D125" s="12" t="str">
        <f>Data2026!D129</f>
        <v>Media</v>
      </c>
      <c r="E125" s="12" t="str">
        <f>Data2026!E129</f>
        <v/>
      </c>
      <c r="F125" s="9">
        <f>Data2026!F129</f>
        <v>46143</v>
      </c>
      <c r="G125" s="11">
        <v>61275.0</v>
      </c>
      <c r="H125" s="30" t="s">
        <v>114</v>
      </c>
      <c r="I125" s="8" t="s">
        <v>214</v>
      </c>
      <c r="J125" s="9">
        <f>Data2026!J129</f>
        <v>46143</v>
      </c>
      <c r="K125" s="9">
        <f>Data2026!K129</f>
        <v>46173</v>
      </c>
      <c r="L125" s="43">
        <f t="shared" si="2"/>
        <v>0</v>
      </c>
      <c r="M125" s="43">
        <f t="shared" si="3"/>
        <v>0</v>
      </c>
      <c r="N125" s="43">
        <f t="shared" si="4"/>
        <v>0</v>
      </c>
      <c r="O125" s="43">
        <f t="shared" si="5"/>
        <v>0</v>
      </c>
      <c r="P125" s="43">
        <f t="shared" si="6"/>
        <v>61275</v>
      </c>
      <c r="Q125" s="43">
        <f t="shared" si="7"/>
        <v>0</v>
      </c>
      <c r="R125" s="49">
        <v>0.0</v>
      </c>
      <c r="S125" s="49">
        <v>0.0</v>
      </c>
      <c r="T125" s="49">
        <v>0.0</v>
      </c>
      <c r="U125" s="49">
        <v>0.0</v>
      </c>
      <c r="V125" s="49">
        <v>406.0</v>
      </c>
      <c r="W125" s="49">
        <v>0.0</v>
      </c>
      <c r="AB125" s="49">
        <v>100776.0</v>
      </c>
      <c r="AF125" s="22"/>
      <c r="AG125" s="22"/>
      <c r="AH125" s="22"/>
      <c r="AI125" s="22"/>
      <c r="AJ125" s="22"/>
      <c r="AK125" s="23"/>
      <c r="AN125" s="24"/>
      <c r="AO125" s="24"/>
      <c r="AX125" s="25"/>
      <c r="BR125" s="25"/>
      <c r="CF125" s="27"/>
      <c r="CG125" s="27"/>
      <c r="CH125" s="27"/>
      <c r="CI125" s="27"/>
      <c r="CJ125" s="27"/>
      <c r="CK125" s="27"/>
    </row>
    <row r="126" ht="14.25" customHeight="1">
      <c r="A126" s="30" t="str">
        <f>Data2026!A130</f>
        <v>Media</v>
      </c>
      <c r="B126" s="9">
        <f>Data2026!B130</f>
        <v>46174</v>
      </c>
      <c r="C126" s="11" t="str">
        <f>Data2026!C130</f>
        <v>Media Buying</v>
      </c>
      <c r="D126" s="12" t="str">
        <f>Data2026!D130</f>
        <v>Media</v>
      </c>
      <c r="E126" s="12" t="str">
        <f>Data2026!E130</f>
        <v/>
      </c>
      <c r="F126" s="9">
        <f>Data2026!F130</f>
        <v>46174</v>
      </c>
      <c r="G126" s="11">
        <v>143282.0</v>
      </c>
      <c r="H126" s="30" t="s">
        <v>114</v>
      </c>
      <c r="I126" s="8" t="s">
        <v>214</v>
      </c>
      <c r="J126" s="9">
        <f>Data2026!J130</f>
        <v>46174</v>
      </c>
      <c r="K126" s="9">
        <f>Data2026!K130</f>
        <v>46203</v>
      </c>
      <c r="L126" s="43">
        <f t="shared" si="2"/>
        <v>0</v>
      </c>
      <c r="M126" s="43">
        <f t="shared" si="3"/>
        <v>0</v>
      </c>
      <c r="N126" s="43">
        <f t="shared" si="4"/>
        <v>0</v>
      </c>
      <c r="O126" s="43">
        <f t="shared" si="5"/>
        <v>0</v>
      </c>
      <c r="P126" s="43">
        <f t="shared" si="6"/>
        <v>0</v>
      </c>
      <c r="Q126" s="43">
        <f t="shared" si="7"/>
        <v>143282</v>
      </c>
      <c r="R126" s="49">
        <v>0.0</v>
      </c>
      <c r="S126" s="49">
        <v>0.0</v>
      </c>
      <c r="T126" s="49">
        <v>0.0</v>
      </c>
      <c r="U126" s="49">
        <v>0.0</v>
      </c>
      <c r="V126" s="49">
        <v>0.0</v>
      </c>
      <c r="W126" s="49">
        <v>424.0</v>
      </c>
      <c r="AC126" s="49">
        <v>86560.0</v>
      </c>
      <c r="AF126" s="22"/>
      <c r="AG126" s="22"/>
      <c r="AH126" s="22"/>
      <c r="AI126" s="22"/>
      <c r="AJ126" s="22"/>
      <c r="AK126" s="23"/>
      <c r="AN126" s="24"/>
      <c r="AO126" s="24"/>
      <c r="AX126" s="25"/>
      <c r="BR126" s="25"/>
      <c r="CF126" s="27"/>
      <c r="CG126" s="27"/>
      <c r="CH126" s="27"/>
      <c r="CI126" s="27"/>
      <c r="CJ126" s="27"/>
      <c r="CK126" s="27"/>
    </row>
    <row r="127" ht="14.25" customHeight="1">
      <c r="A127" s="30" t="str">
        <f>Data2026!A141</f>
        <v>Rohel7</v>
      </c>
      <c r="B127" s="9">
        <f>Data2026!B141</f>
        <v>46191</v>
      </c>
      <c r="C127" s="11" t="str">
        <f>Data2026!C141</f>
        <v>Fixed</v>
      </c>
      <c r="D127" s="12" t="str">
        <f>Data2026!D141</f>
        <v>Rohel7</v>
      </c>
      <c r="E127" s="12" t="str">
        <f>Data2026!E141</f>
        <v>Elene_Gh</v>
      </c>
      <c r="F127" s="9">
        <f>Data2026!F141</f>
        <v>46191</v>
      </c>
      <c r="G127" s="11">
        <v>143283.0</v>
      </c>
      <c r="H127" s="30" t="s">
        <v>114</v>
      </c>
      <c r="I127" s="8" t="s">
        <v>214</v>
      </c>
      <c r="J127" s="9">
        <f>Data2026!J141</f>
        <v>46202</v>
      </c>
      <c r="K127" s="9">
        <f>Data2026!K141</f>
        <v>46226</v>
      </c>
      <c r="L127" s="43">
        <f t="shared" si="2"/>
        <v>0</v>
      </c>
      <c r="M127" s="43">
        <f t="shared" si="3"/>
        <v>0</v>
      </c>
      <c r="N127" s="43">
        <f t="shared" si="4"/>
        <v>0</v>
      </c>
      <c r="O127" s="43">
        <f t="shared" si="5"/>
        <v>0</v>
      </c>
      <c r="P127" s="43">
        <f t="shared" si="6"/>
        <v>0</v>
      </c>
      <c r="Q127" s="43">
        <f t="shared" si="7"/>
        <v>11940.25</v>
      </c>
      <c r="AF127" s="22"/>
      <c r="AG127" s="22"/>
      <c r="AH127" s="22"/>
      <c r="AI127" s="22"/>
      <c r="AJ127" s="22"/>
      <c r="AK127" s="23"/>
      <c r="AN127" s="24"/>
      <c r="AO127" s="24"/>
      <c r="AX127" s="25"/>
      <c r="BR127" s="25"/>
      <c r="CF127" s="27"/>
      <c r="CG127" s="27"/>
      <c r="CH127" s="27"/>
      <c r="CI127" s="27"/>
      <c r="CJ127" s="27"/>
      <c r="CK127" s="27"/>
    </row>
    <row r="128" ht="14.25" customHeight="1">
      <c r="A128" s="30" t="str">
        <f>Data2026!A141</f>
        <v>Rohel7</v>
      </c>
      <c r="B128" s="9">
        <f>Data2026!B141</f>
        <v>46191</v>
      </c>
      <c r="C128" s="11" t="str">
        <f>Data2026!C141</f>
        <v>Fixed</v>
      </c>
      <c r="D128" s="12" t="str">
        <f>Data2026!D141</f>
        <v>Rohel7</v>
      </c>
      <c r="E128" s="12" t="str">
        <f>Data2026!E141</f>
        <v>Elene_Gh</v>
      </c>
      <c r="F128" s="9">
        <f>Data2026!F141</f>
        <v>46191</v>
      </c>
      <c r="G128" s="11">
        <f>Data2026!G141</f>
        <v>1163.9</v>
      </c>
      <c r="H128" s="30" t="s">
        <v>114</v>
      </c>
      <c r="I128" s="8" t="s">
        <v>214</v>
      </c>
      <c r="J128" s="9">
        <f>Data2026!J141</f>
        <v>46202</v>
      </c>
      <c r="K128" s="9">
        <f>Data2026!K141</f>
        <v>46226</v>
      </c>
      <c r="L128" s="43">
        <f t="shared" si="2"/>
        <v>0</v>
      </c>
      <c r="M128" s="43">
        <f t="shared" si="3"/>
        <v>0</v>
      </c>
      <c r="N128" s="43">
        <f t="shared" si="4"/>
        <v>0</v>
      </c>
      <c r="O128" s="43">
        <f t="shared" si="5"/>
        <v>0</v>
      </c>
      <c r="P128" s="43">
        <f t="shared" si="6"/>
        <v>0</v>
      </c>
      <c r="Q128" s="43">
        <f t="shared" si="7"/>
        <v>96.99166667</v>
      </c>
      <c r="R128" s="49" t="str">
        <f t="shared" ref="R128:W128" si="319">SUMIF(Tableau!$A:$A,$A128,Tableau!E:E)</f>
        <v>#N/A</v>
      </c>
      <c r="S128" s="49" t="str">
        <f t="shared" si="319"/>
        <v>#N/A</v>
      </c>
      <c r="T128" s="49" t="str">
        <f t="shared" si="319"/>
        <v>#N/A</v>
      </c>
      <c r="U128" s="49" t="str">
        <f t="shared" si="319"/>
        <v>#N/A</v>
      </c>
      <c r="V128" s="49" t="str">
        <f t="shared" si="319"/>
        <v>#N/A</v>
      </c>
      <c r="W128" s="49" t="str">
        <f t="shared" si="319"/>
        <v>#N/A</v>
      </c>
      <c r="X128" s="49" t="str">
        <f t="shared" ref="X128:AC128" si="320">SUMIF(Tableau!$A:$A,$A128,Tableau!P:P)</f>
        <v>#N/A</v>
      </c>
      <c r="Y128" s="49" t="str">
        <f t="shared" si="320"/>
        <v>#N/A</v>
      </c>
      <c r="Z128" s="49" t="str">
        <f t="shared" si="320"/>
        <v>#N/A</v>
      </c>
      <c r="AA128" s="49" t="str">
        <f t="shared" si="320"/>
        <v>#N/A</v>
      </c>
      <c r="AB128" s="49" t="str">
        <f t="shared" si="320"/>
        <v>#N/A</v>
      </c>
      <c r="AC128" s="49" t="str">
        <f t="shared" si="320"/>
        <v>#N/A</v>
      </c>
      <c r="AF128" s="22"/>
      <c r="AG128" s="22"/>
      <c r="AH128" s="22"/>
      <c r="AI128" s="22"/>
      <c r="AJ128" s="22"/>
      <c r="AK128" s="23"/>
      <c r="AN128" s="24"/>
      <c r="AO128" s="24"/>
      <c r="AX128" s="25"/>
      <c r="BR128" s="25"/>
      <c r="CF128" s="27"/>
      <c r="CG128" s="27"/>
      <c r="CH128" s="27"/>
      <c r="CI128" s="27"/>
      <c r="CJ128" s="27"/>
      <c r="CK128" s="27"/>
    </row>
    <row r="129" ht="14.25" customHeight="1">
      <c r="A129" s="30" t="str">
        <f>Data2026!A142</f>
        <v>UpUpPartners</v>
      </c>
      <c r="B129" s="9">
        <f>Data2026!B142</f>
        <v>46191</v>
      </c>
      <c r="C129" s="11" t="str">
        <f>Data2026!C142</f>
        <v>CPA</v>
      </c>
      <c r="D129" s="12" t="str">
        <f>Data2026!D142</f>
        <v>UpUpPartners</v>
      </c>
      <c r="E129" s="12" t="str">
        <f>Data2026!E142</f>
        <v>Nini_B</v>
      </c>
      <c r="F129" s="9">
        <f>Data2026!F142</f>
        <v>46191</v>
      </c>
      <c r="G129" s="11">
        <f>Data2026!G142</f>
        <v>400</v>
      </c>
      <c r="H129" s="30" t="str">
        <f>Data2026!H142</f>
        <v>Finished</v>
      </c>
      <c r="I129" s="30" t="str">
        <f>Data2026!I142</f>
        <v>Meta</v>
      </c>
      <c r="J129" s="9">
        <f>Data2026!J142</f>
        <v>46143</v>
      </c>
      <c r="K129" s="9">
        <f>Data2026!K142</f>
        <v>46174</v>
      </c>
      <c r="L129" s="43">
        <f t="shared" si="2"/>
        <v>0</v>
      </c>
      <c r="M129" s="43">
        <f t="shared" si="3"/>
        <v>0</v>
      </c>
      <c r="N129" s="43">
        <f t="shared" si="4"/>
        <v>0</v>
      </c>
      <c r="O129" s="43">
        <f t="shared" si="5"/>
        <v>0</v>
      </c>
      <c r="P129" s="43">
        <f t="shared" si="6"/>
        <v>400</v>
      </c>
      <c r="Q129" s="43">
        <f t="shared" si="7"/>
        <v>0</v>
      </c>
      <c r="R129" s="49" t="str">
        <f t="shared" ref="R129:W129" si="321">SUMIF(Tableau!$A:$A,$A129,Tableau!E:E)</f>
        <v>#N/A</v>
      </c>
      <c r="S129" s="49" t="str">
        <f t="shared" si="321"/>
        <v>#N/A</v>
      </c>
      <c r="T129" s="49" t="str">
        <f t="shared" si="321"/>
        <v>#N/A</v>
      </c>
      <c r="U129" s="49" t="str">
        <f t="shared" si="321"/>
        <v>#N/A</v>
      </c>
      <c r="V129" s="49" t="str">
        <f t="shared" si="321"/>
        <v>#N/A</v>
      </c>
      <c r="W129" s="49" t="str">
        <f t="shared" si="321"/>
        <v>#N/A</v>
      </c>
      <c r="X129" s="49" t="str">
        <f t="shared" ref="X129:AC129" si="322">SUMIF(Tableau!$A:$A,$A129,Tableau!P:P)</f>
        <v>#N/A</v>
      </c>
      <c r="Y129" s="49" t="str">
        <f t="shared" si="322"/>
        <v>#N/A</v>
      </c>
      <c r="Z129" s="49" t="str">
        <f t="shared" si="322"/>
        <v>#N/A</v>
      </c>
      <c r="AA129" s="49" t="str">
        <f t="shared" si="322"/>
        <v>#N/A</v>
      </c>
      <c r="AB129" s="49" t="str">
        <f t="shared" si="322"/>
        <v>#N/A</v>
      </c>
      <c r="AC129" s="49" t="str">
        <f t="shared" si="322"/>
        <v>#N/A</v>
      </c>
      <c r="AF129" s="22"/>
      <c r="AG129" s="22"/>
      <c r="AH129" s="22"/>
      <c r="AI129" s="22"/>
      <c r="AJ129" s="22"/>
      <c r="AK129" s="23"/>
      <c r="AN129" s="24"/>
      <c r="AO129" s="24"/>
      <c r="AX129" s="25"/>
      <c r="BR129" s="25"/>
      <c r="CF129" s="27"/>
      <c r="CG129" s="27"/>
      <c r="CH129" s="27"/>
      <c r="CI129" s="27"/>
      <c r="CJ129" s="27"/>
      <c r="CK129" s="27"/>
    </row>
    <row r="130" ht="14.25" customHeight="1">
      <c r="A130" s="30" t="str">
        <f>Data2026!A143</f>
        <v>UpUpPartners</v>
      </c>
      <c r="B130" s="9">
        <f>Data2026!B143</f>
        <v>46191</v>
      </c>
      <c r="C130" s="11" t="str">
        <f>Data2026!C143</f>
        <v>CPA</v>
      </c>
      <c r="D130" s="12" t="str">
        <f>Data2026!D143</f>
        <v>UpUpPartners</v>
      </c>
      <c r="E130" s="12" t="str">
        <f>Data2026!E143</f>
        <v>Nini_B</v>
      </c>
      <c r="F130" s="9">
        <f>Data2026!F143</f>
        <v>46191</v>
      </c>
      <c r="G130" s="11">
        <f>Data2026!G143</f>
        <v>400</v>
      </c>
      <c r="H130" s="30" t="str">
        <f>Data2026!H143</f>
        <v>Finished</v>
      </c>
      <c r="I130" s="30" t="str">
        <f>Data2026!I143</f>
        <v>Meta</v>
      </c>
      <c r="J130" s="9">
        <f>Data2026!J143</f>
        <v>46143</v>
      </c>
      <c r="K130" s="9">
        <f>Data2026!K143</f>
        <v>46174</v>
      </c>
      <c r="L130" s="43">
        <f t="shared" si="2"/>
        <v>0</v>
      </c>
      <c r="M130" s="43">
        <f t="shared" si="3"/>
        <v>0</v>
      </c>
      <c r="N130" s="43">
        <f t="shared" si="4"/>
        <v>0</v>
      </c>
      <c r="O130" s="43">
        <f t="shared" si="5"/>
        <v>0</v>
      </c>
      <c r="P130" s="43">
        <f t="shared" si="6"/>
        <v>400</v>
      </c>
      <c r="Q130" s="43">
        <f t="shared" si="7"/>
        <v>0</v>
      </c>
      <c r="R130" s="49" t="str">
        <f t="shared" ref="R130:U130" si="323">SUMIF(Tableau!$A:$A,$A130,Tableau!E:E)</f>
        <v>#N/A</v>
      </c>
      <c r="S130" s="49" t="str">
        <f t="shared" si="323"/>
        <v>#N/A</v>
      </c>
      <c r="T130" s="49" t="str">
        <f t="shared" si="323"/>
        <v>#N/A</v>
      </c>
      <c r="U130" s="49" t="str">
        <f t="shared" si="323"/>
        <v>#N/A</v>
      </c>
      <c r="W130" s="49" t="str">
        <f t="shared" ref="W130:W131" si="326">SUMIF(Tableau!$A:$A,$A130,Tableau!J:J)</f>
        <v>#N/A</v>
      </c>
      <c r="X130" s="49" t="str">
        <f t="shared" ref="X130:AA130" si="324">SUMIF(Tableau!$A:$A,$A130,Tableau!P:P)</f>
        <v>#N/A</v>
      </c>
      <c r="Y130" s="49" t="str">
        <f t="shared" si="324"/>
        <v>#N/A</v>
      </c>
      <c r="Z130" s="49" t="str">
        <f t="shared" si="324"/>
        <v>#N/A</v>
      </c>
      <c r="AA130" s="49" t="str">
        <f t="shared" si="324"/>
        <v>#N/A</v>
      </c>
      <c r="AC130" s="49" t="str">
        <f t="shared" ref="AC130:AC131" si="328">SUMIF(Tableau!$A:$A,$A130,Tableau!U:U)</f>
        <v>#N/A</v>
      </c>
      <c r="AF130" s="22"/>
      <c r="AG130" s="22"/>
      <c r="AH130" s="22"/>
      <c r="AI130" s="22"/>
      <c r="AJ130" s="22"/>
      <c r="AK130" s="23"/>
      <c r="AN130" s="24"/>
      <c r="AO130" s="24"/>
      <c r="AX130" s="25"/>
      <c r="BR130" s="25"/>
      <c r="CF130" s="27"/>
      <c r="CG130" s="27"/>
      <c r="CH130" s="27"/>
      <c r="CI130" s="27"/>
      <c r="CJ130" s="27"/>
      <c r="CK130" s="27"/>
    </row>
    <row r="131" ht="14.25" customHeight="1">
      <c r="A131" s="30" t="str">
        <f>Data2026!A144</f>
        <v>UpUpPartners</v>
      </c>
      <c r="B131" s="9">
        <f>Data2026!B144</f>
        <v>46191</v>
      </c>
      <c r="C131" s="11" t="str">
        <f>Data2026!C144</f>
        <v>CPA</v>
      </c>
      <c r="D131" s="12" t="str">
        <f>Data2026!D144</f>
        <v>UpUpPartners</v>
      </c>
      <c r="E131" s="12" t="str">
        <f>Data2026!E144</f>
        <v>Nini_B</v>
      </c>
      <c r="F131" s="9">
        <f>Data2026!F144</f>
        <v>46191</v>
      </c>
      <c r="G131" s="11">
        <f>Data2026!G144</f>
        <v>400</v>
      </c>
      <c r="H131" s="30" t="str">
        <f>Data2026!H144</f>
        <v>Finished</v>
      </c>
      <c r="I131" s="30" t="str">
        <f>Data2026!I144</f>
        <v>Meta</v>
      </c>
      <c r="J131" s="9">
        <f>Data2026!J144</f>
        <v>46143</v>
      </c>
      <c r="K131" s="9">
        <f>Data2026!K144</f>
        <v>46174</v>
      </c>
      <c r="L131" s="43">
        <f t="shared" si="2"/>
        <v>0</v>
      </c>
      <c r="M131" s="43">
        <f t="shared" si="3"/>
        <v>0</v>
      </c>
      <c r="N131" s="43">
        <f t="shared" si="4"/>
        <v>0</v>
      </c>
      <c r="O131" s="43">
        <f t="shared" si="5"/>
        <v>0</v>
      </c>
      <c r="P131" s="43">
        <f t="shared" si="6"/>
        <v>400</v>
      </c>
      <c r="Q131" s="43">
        <f t="shared" si="7"/>
        <v>0</v>
      </c>
      <c r="R131" s="49" t="str">
        <f t="shared" ref="R131:U131" si="325">SUMIF(Tableau!$A:$A,$A131,Tableau!E:E)</f>
        <v>#N/A</v>
      </c>
      <c r="S131" s="49" t="str">
        <f t="shared" si="325"/>
        <v>#N/A</v>
      </c>
      <c r="T131" s="49" t="str">
        <f t="shared" si="325"/>
        <v>#N/A</v>
      </c>
      <c r="U131" s="49" t="str">
        <f t="shared" si="325"/>
        <v>#N/A</v>
      </c>
      <c r="W131" s="49" t="str">
        <f t="shared" si="326"/>
        <v>#N/A</v>
      </c>
      <c r="X131" s="49" t="str">
        <f t="shared" ref="X131:AA131" si="327">SUMIF(Tableau!$A:$A,$A131,Tableau!P:P)</f>
        <v>#N/A</v>
      </c>
      <c r="Y131" s="49" t="str">
        <f t="shared" si="327"/>
        <v>#N/A</v>
      </c>
      <c r="Z131" s="49" t="str">
        <f t="shared" si="327"/>
        <v>#N/A</v>
      </c>
      <c r="AA131" s="49" t="str">
        <f t="shared" si="327"/>
        <v>#N/A</v>
      </c>
      <c r="AC131" s="49" t="str">
        <f t="shared" si="328"/>
        <v>#N/A</v>
      </c>
      <c r="AF131" s="22"/>
      <c r="AG131" s="22"/>
      <c r="AH131" s="22"/>
      <c r="AI131" s="22"/>
      <c r="AJ131" s="22"/>
      <c r="AK131" s="23"/>
      <c r="AN131" s="24"/>
      <c r="AO131" s="24"/>
      <c r="AX131" s="25"/>
      <c r="BR131" s="25"/>
      <c r="CF131" s="27"/>
      <c r="CG131" s="27"/>
      <c r="CH131" s="27"/>
      <c r="CI131" s="27"/>
      <c r="CJ131" s="27"/>
      <c r="CK131" s="27"/>
    </row>
    <row r="132" ht="14.25" customHeight="1">
      <c r="A132" s="30" t="str">
        <f>Data2026!A145</f>
        <v>AnastasiaCybertribe</v>
      </c>
      <c r="B132" s="9">
        <f>Data2026!B145</f>
        <v>46192</v>
      </c>
      <c r="C132" s="11" t="str">
        <f>Data2026!C145</f>
        <v>Fixed</v>
      </c>
      <c r="D132" s="12" t="str">
        <f>Data2026!D145</f>
        <v>AnastasiaCybertribe</v>
      </c>
      <c r="E132" s="12" t="str">
        <f>Data2026!E145</f>
        <v>Nini_B</v>
      </c>
      <c r="F132" s="9">
        <f>Data2026!F145</f>
        <v>46192</v>
      </c>
      <c r="G132" s="11">
        <f>Data2026!G145</f>
        <v>4200</v>
      </c>
      <c r="H132" s="30" t="str">
        <f>Data2026!H145</f>
        <v>On hold</v>
      </c>
      <c r="I132" s="30" t="str">
        <f>Data2026!I145</f>
        <v>Influence</v>
      </c>
      <c r="J132" s="9">
        <f>Data2026!J145</f>
        <v>46205</v>
      </c>
      <c r="K132" s="9">
        <f>Data2026!K145</f>
        <v>46249</v>
      </c>
      <c r="L132" s="43">
        <f t="shared" si="2"/>
        <v>0</v>
      </c>
      <c r="M132" s="43">
        <f t="shared" si="3"/>
        <v>0</v>
      </c>
      <c r="N132" s="43">
        <f t="shared" si="4"/>
        <v>0</v>
      </c>
      <c r="O132" s="43">
        <f t="shared" si="5"/>
        <v>0</v>
      </c>
      <c r="P132" s="43">
        <f t="shared" si="6"/>
        <v>0</v>
      </c>
      <c r="Q132" s="43">
        <f t="shared" si="7"/>
        <v>0</v>
      </c>
      <c r="R132" s="49" t="str">
        <f t="shared" ref="R132:W132" si="329">SUMIF(Tableau!$A:$A,$A132,Tableau!E:E)</f>
        <v>#N/A</v>
      </c>
      <c r="S132" s="49" t="str">
        <f t="shared" si="329"/>
        <v>#N/A</v>
      </c>
      <c r="T132" s="49" t="str">
        <f t="shared" si="329"/>
        <v>#N/A</v>
      </c>
      <c r="U132" s="49" t="str">
        <f t="shared" si="329"/>
        <v>#N/A</v>
      </c>
      <c r="V132" s="49" t="str">
        <f t="shared" si="329"/>
        <v>#N/A</v>
      </c>
      <c r="W132" s="49" t="str">
        <f t="shared" si="329"/>
        <v>#N/A</v>
      </c>
      <c r="X132" s="49" t="str">
        <f t="shared" ref="X132:AC132" si="330">SUMIF(Tableau!$A:$A,$A132,Tableau!P:P)</f>
        <v>#N/A</v>
      </c>
      <c r="Y132" s="49" t="str">
        <f t="shared" si="330"/>
        <v>#N/A</v>
      </c>
      <c r="Z132" s="49" t="str">
        <f t="shared" si="330"/>
        <v>#N/A</v>
      </c>
      <c r="AA132" s="49" t="str">
        <f t="shared" si="330"/>
        <v>#N/A</v>
      </c>
      <c r="AB132" s="49" t="str">
        <f t="shared" si="330"/>
        <v>#N/A</v>
      </c>
      <c r="AC132" s="49" t="str">
        <f t="shared" si="330"/>
        <v>#N/A</v>
      </c>
      <c r="AF132" s="22"/>
      <c r="AG132" s="22"/>
      <c r="AH132" s="22"/>
      <c r="AI132" s="22"/>
      <c r="AJ132" s="22"/>
      <c r="AK132" s="23"/>
      <c r="AN132" s="24"/>
      <c r="AO132" s="24"/>
      <c r="AX132" s="25"/>
      <c r="BR132" s="25"/>
      <c r="CF132" s="27"/>
      <c r="CG132" s="27"/>
      <c r="CH132" s="27"/>
      <c r="CI132" s="27"/>
      <c r="CJ132" s="27"/>
      <c r="CK132" s="27"/>
    </row>
    <row r="133" ht="14.25" customHeight="1">
      <c r="A133" s="30" t="str">
        <f>Data2026!A146</f>
        <v>Tierwulf</v>
      </c>
      <c r="B133" s="9">
        <f>Data2026!B146</f>
        <v>46192</v>
      </c>
      <c r="C133" s="11" t="str">
        <f>Data2026!C146</f>
        <v>Fixed</v>
      </c>
      <c r="D133" s="12" t="str">
        <f>Data2026!D146</f>
        <v>Tierwulf</v>
      </c>
      <c r="E133" s="12" t="str">
        <f>Data2026!E146</f>
        <v>Ani_S</v>
      </c>
      <c r="F133" s="9">
        <f>Data2026!F146</f>
        <v>46192</v>
      </c>
      <c r="G133" s="11">
        <f>Data2026!G146</f>
        <v>2184.46</v>
      </c>
      <c r="H133" s="30" t="str">
        <f>Data2026!H146</f>
        <v>Finished</v>
      </c>
      <c r="I133" s="30" t="str">
        <f>Data2026!I146</f>
        <v>Influence</v>
      </c>
      <c r="J133" s="9">
        <f>Data2026!J146</f>
        <v>46193</v>
      </c>
      <c r="K133" s="9">
        <f>Data2026!K146</f>
        <v>46223</v>
      </c>
      <c r="L133" s="43">
        <f t="shared" si="2"/>
        <v>0</v>
      </c>
      <c r="M133" s="43">
        <f t="shared" si="3"/>
        <v>0</v>
      </c>
      <c r="N133" s="43">
        <f t="shared" si="4"/>
        <v>0</v>
      </c>
      <c r="O133" s="43">
        <f t="shared" si="5"/>
        <v>0</v>
      </c>
      <c r="P133" s="43">
        <f t="shared" si="6"/>
        <v>0</v>
      </c>
      <c r="Q133" s="43">
        <f t="shared" si="7"/>
        <v>800.9686667</v>
      </c>
      <c r="R133" s="49" t="str">
        <f t="shared" ref="R133:W133" si="331">SUMIF(Tableau!$A:$A,$A133,Tableau!E:E)</f>
        <v>#N/A</v>
      </c>
      <c r="S133" s="49" t="str">
        <f t="shared" si="331"/>
        <v>#N/A</v>
      </c>
      <c r="T133" s="49" t="str">
        <f t="shared" si="331"/>
        <v>#N/A</v>
      </c>
      <c r="U133" s="49" t="str">
        <f t="shared" si="331"/>
        <v>#N/A</v>
      </c>
      <c r="V133" s="49" t="str">
        <f t="shared" si="331"/>
        <v>#N/A</v>
      </c>
      <c r="W133" s="49" t="str">
        <f t="shared" si="331"/>
        <v>#N/A</v>
      </c>
      <c r="X133" s="49" t="str">
        <f t="shared" ref="X133:AC133" si="332">SUMIF(Tableau!$A:$A,$A133,Tableau!P:P)</f>
        <v>#N/A</v>
      </c>
      <c r="Y133" s="49" t="str">
        <f t="shared" si="332"/>
        <v>#N/A</v>
      </c>
      <c r="Z133" s="49" t="str">
        <f t="shared" si="332"/>
        <v>#N/A</v>
      </c>
      <c r="AA133" s="49" t="str">
        <f t="shared" si="332"/>
        <v>#N/A</v>
      </c>
      <c r="AB133" s="49" t="str">
        <f t="shared" si="332"/>
        <v>#N/A</v>
      </c>
      <c r="AC133" s="49" t="str">
        <f t="shared" si="332"/>
        <v>#N/A</v>
      </c>
      <c r="AF133" s="22"/>
      <c r="AG133" s="22"/>
      <c r="AH133" s="22"/>
      <c r="AI133" s="22"/>
      <c r="AJ133" s="22"/>
      <c r="AK133" s="23"/>
      <c r="AN133" s="24"/>
      <c r="AO133" s="24"/>
      <c r="AX133" s="25"/>
      <c r="BR133" s="25"/>
      <c r="CF133" s="27"/>
      <c r="CG133" s="27"/>
      <c r="CH133" s="27"/>
      <c r="CI133" s="27"/>
      <c r="CJ133" s="27"/>
      <c r="CK133" s="27"/>
    </row>
    <row r="134" ht="14.25" customHeight="1">
      <c r="A134" s="30" t="str">
        <f>Data2026!A147</f>
        <v>xmaria25</v>
      </c>
      <c r="B134" s="9">
        <f>Data2026!B147</f>
        <v>46195</v>
      </c>
      <c r="C134" s="11" t="str">
        <f>Data2026!C147</f>
        <v>Fixed</v>
      </c>
      <c r="D134" s="12" t="str">
        <f>Data2026!D147</f>
        <v>xmaria25</v>
      </c>
      <c r="E134" s="12" t="str">
        <f>Data2026!E147</f>
        <v>Elene_Gh</v>
      </c>
      <c r="F134" s="9">
        <f>Data2026!F147</f>
        <v>46195</v>
      </c>
      <c r="G134" s="11">
        <f>Data2026!G147</f>
        <v>458.08</v>
      </c>
      <c r="H134" s="30" t="str">
        <f>Data2026!H147</f>
        <v>Finished</v>
      </c>
      <c r="I134" s="30" t="str">
        <f>Data2026!I147</f>
        <v>Influence</v>
      </c>
      <c r="J134" s="9">
        <f>Data2026!J147</f>
        <v>46195</v>
      </c>
      <c r="K134" s="9">
        <f>Data2026!K147</f>
        <v>46199</v>
      </c>
      <c r="L134" s="43">
        <f t="shared" si="2"/>
        <v>0</v>
      </c>
      <c r="M134" s="43">
        <f t="shared" si="3"/>
        <v>0</v>
      </c>
      <c r="N134" s="43">
        <f t="shared" si="4"/>
        <v>0</v>
      </c>
      <c r="O134" s="43">
        <f t="shared" si="5"/>
        <v>0</v>
      </c>
      <c r="P134" s="43">
        <f t="shared" si="6"/>
        <v>0</v>
      </c>
      <c r="Q134" s="43">
        <f t="shared" si="7"/>
        <v>458.08</v>
      </c>
      <c r="R134" s="49" t="str">
        <f t="shared" ref="R134:W134" si="333">SUMIF(Tableau!$A:$A,$A134,Tableau!E:E)</f>
        <v>#N/A</v>
      </c>
      <c r="S134" s="49" t="str">
        <f t="shared" si="333"/>
        <v>#N/A</v>
      </c>
      <c r="T134" s="49" t="str">
        <f t="shared" si="333"/>
        <v>#N/A</v>
      </c>
      <c r="U134" s="49" t="str">
        <f t="shared" si="333"/>
        <v>#N/A</v>
      </c>
      <c r="V134" s="49" t="str">
        <f t="shared" si="333"/>
        <v>#N/A</v>
      </c>
      <c r="W134" s="49" t="str">
        <f t="shared" si="333"/>
        <v>#N/A</v>
      </c>
      <c r="X134" s="49" t="str">
        <f t="shared" ref="X134:AC134" si="334">SUMIF(Tableau!$A:$A,$A134,Tableau!P:P)</f>
        <v>#N/A</v>
      </c>
      <c r="Y134" s="49" t="str">
        <f t="shared" si="334"/>
        <v>#N/A</v>
      </c>
      <c r="Z134" s="49" t="str">
        <f t="shared" si="334"/>
        <v>#N/A</v>
      </c>
      <c r="AA134" s="49" t="str">
        <f t="shared" si="334"/>
        <v>#N/A</v>
      </c>
      <c r="AB134" s="49" t="str">
        <f t="shared" si="334"/>
        <v>#N/A</v>
      </c>
      <c r="AC134" s="49" t="str">
        <f t="shared" si="334"/>
        <v>#N/A</v>
      </c>
      <c r="AF134" s="22"/>
      <c r="AG134" s="22"/>
      <c r="AH134" s="22"/>
      <c r="AI134" s="22"/>
      <c r="AJ134" s="22"/>
      <c r="AK134" s="23"/>
      <c r="AN134" s="24"/>
      <c r="AO134" s="24"/>
      <c r="AX134" s="25"/>
      <c r="BR134" s="25"/>
      <c r="CF134" s="27"/>
      <c r="CG134" s="27"/>
      <c r="CH134" s="27"/>
      <c r="CI134" s="27"/>
      <c r="CJ134" s="27"/>
      <c r="CK134" s="27"/>
    </row>
    <row r="135" ht="14.25" customHeight="1">
      <c r="A135" s="30" t="str">
        <f>Data2026!A148</f>
        <v>lautaacr</v>
      </c>
      <c r="B135" s="9">
        <f>Data2026!B148</f>
        <v>46195</v>
      </c>
      <c r="C135" s="11" t="str">
        <f>Data2026!C148</f>
        <v>Fixed</v>
      </c>
      <c r="D135" s="12" t="str">
        <f>Data2026!D148</f>
        <v>lautaacr</v>
      </c>
      <c r="E135" s="12" t="str">
        <f>Data2026!E148</f>
        <v>Ani_S</v>
      </c>
      <c r="F135" s="9">
        <f>Data2026!F148</f>
        <v>46195</v>
      </c>
      <c r="G135" s="11">
        <f>Data2026!G148</f>
        <v>874.76</v>
      </c>
      <c r="H135" s="30" t="str">
        <f>Data2026!H148</f>
        <v>Finished</v>
      </c>
      <c r="I135" s="30" t="str">
        <f>Data2026!I148</f>
        <v>Influence</v>
      </c>
      <c r="J135" s="9">
        <f>Data2026!J148</f>
        <v>46195</v>
      </c>
      <c r="K135" s="9">
        <f>Data2026!K148</f>
        <v>46199</v>
      </c>
      <c r="L135" s="43">
        <f t="shared" si="2"/>
        <v>0</v>
      </c>
      <c r="M135" s="43">
        <f t="shared" si="3"/>
        <v>0</v>
      </c>
      <c r="N135" s="43">
        <f t="shared" si="4"/>
        <v>0</v>
      </c>
      <c r="O135" s="43">
        <f t="shared" si="5"/>
        <v>0</v>
      </c>
      <c r="P135" s="43">
        <f t="shared" si="6"/>
        <v>0</v>
      </c>
      <c r="Q135" s="43">
        <f t="shared" si="7"/>
        <v>874.76</v>
      </c>
      <c r="R135" s="49" t="str">
        <f t="shared" ref="R135:W135" si="335">SUMIF(Tableau!$A:$A,$A135,Tableau!E:E)</f>
        <v>#N/A</v>
      </c>
      <c r="S135" s="49" t="str">
        <f t="shared" si="335"/>
        <v>#N/A</v>
      </c>
      <c r="T135" s="49" t="str">
        <f t="shared" si="335"/>
        <v>#N/A</v>
      </c>
      <c r="U135" s="49" t="str">
        <f t="shared" si="335"/>
        <v>#N/A</v>
      </c>
      <c r="V135" s="49" t="str">
        <f t="shared" si="335"/>
        <v>#N/A</v>
      </c>
      <c r="W135" s="49" t="str">
        <f t="shared" si="335"/>
        <v>#N/A</v>
      </c>
      <c r="X135" s="49" t="str">
        <f t="shared" ref="X135:AC135" si="336">SUMIF(Tableau!$A:$A,$A135,Tableau!P:P)</f>
        <v>#N/A</v>
      </c>
      <c r="Y135" s="49" t="str">
        <f t="shared" si="336"/>
        <v>#N/A</v>
      </c>
      <c r="Z135" s="49" t="str">
        <f t="shared" si="336"/>
        <v>#N/A</v>
      </c>
      <c r="AA135" s="49" t="str">
        <f t="shared" si="336"/>
        <v>#N/A</v>
      </c>
      <c r="AB135" s="49" t="str">
        <f t="shared" si="336"/>
        <v>#N/A</v>
      </c>
      <c r="AC135" s="49" t="str">
        <f t="shared" si="336"/>
        <v>#N/A</v>
      </c>
      <c r="AF135" s="22"/>
      <c r="AG135" s="22"/>
      <c r="AH135" s="22"/>
      <c r="AI135" s="22"/>
      <c r="AJ135" s="22"/>
      <c r="AK135" s="23"/>
      <c r="AN135" s="24"/>
      <c r="AO135" s="24"/>
      <c r="AX135" s="25"/>
      <c r="BR135" s="25"/>
      <c r="CF135" s="27"/>
      <c r="CG135" s="27"/>
      <c r="CH135" s="27"/>
      <c r="CI135" s="27"/>
      <c r="CJ135" s="27"/>
      <c r="CK135" s="27"/>
    </row>
    <row r="136" ht="14.25" customHeight="1">
      <c r="A136" s="30" t="str">
        <f>Data2026!A149</f>
        <v>punisher</v>
      </c>
      <c r="B136" s="9">
        <f>Data2026!B149</f>
        <v>46195</v>
      </c>
      <c r="C136" s="11" t="str">
        <f>Data2026!C149</f>
        <v>Fixed</v>
      </c>
      <c r="D136" s="12" t="str">
        <f>Data2026!D149</f>
        <v>punisher</v>
      </c>
      <c r="E136" s="12" t="str">
        <f>Data2026!E149</f>
        <v>Ani_S</v>
      </c>
      <c r="F136" s="9">
        <f>Data2026!F149</f>
        <v>46195</v>
      </c>
      <c r="G136" s="11">
        <f>Data2026!G149</f>
        <v>218.13</v>
      </c>
      <c r="H136" s="30" t="str">
        <f>Data2026!H149</f>
        <v>Finished</v>
      </c>
      <c r="I136" s="30" t="str">
        <f>Data2026!I149</f>
        <v>Influence</v>
      </c>
      <c r="J136" s="9">
        <f>Data2026!J149</f>
        <v>46198</v>
      </c>
      <c r="K136" s="9">
        <f>Data2026!K149</f>
        <v>46218</v>
      </c>
      <c r="L136" s="43">
        <f t="shared" si="2"/>
        <v>0</v>
      </c>
      <c r="M136" s="43">
        <f t="shared" si="3"/>
        <v>0</v>
      </c>
      <c r="N136" s="43">
        <f t="shared" si="4"/>
        <v>0</v>
      </c>
      <c r="O136" s="43">
        <f t="shared" si="5"/>
        <v>0</v>
      </c>
      <c r="P136" s="43">
        <f t="shared" si="6"/>
        <v>0</v>
      </c>
      <c r="Q136" s="43">
        <f t="shared" si="7"/>
        <v>65.439</v>
      </c>
      <c r="R136" s="49" t="str">
        <f t="shared" ref="R136:W136" si="337">SUMIF(Tableau!$A:$A,$A136,Tableau!E:E)</f>
        <v>#N/A</v>
      </c>
      <c r="S136" s="49" t="str">
        <f t="shared" si="337"/>
        <v>#N/A</v>
      </c>
      <c r="T136" s="49" t="str">
        <f t="shared" si="337"/>
        <v>#N/A</v>
      </c>
      <c r="U136" s="49" t="str">
        <f t="shared" si="337"/>
        <v>#N/A</v>
      </c>
      <c r="V136" s="49" t="str">
        <f t="shared" si="337"/>
        <v>#N/A</v>
      </c>
      <c r="W136" s="49" t="str">
        <f t="shared" si="337"/>
        <v>#N/A</v>
      </c>
      <c r="X136" s="49" t="str">
        <f t="shared" ref="X136:AC136" si="338">SUMIF(Tableau!$A:$A,$A136,Tableau!P:P)</f>
        <v>#N/A</v>
      </c>
      <c r="Y136" s="49" t="str">
        <f t="shared" si="338"/>
        <v>#N/A</v>
      </c>
      <c r="Z136" s="49" t="str">
        <f t="shared" si="338"/>
        <v>#N/A</v>
      </c>
      <c r="AA136" s="49" t="str">
        <f t="shared" si="338"/>
        <v>#N/A</v>
      </c>
      <c r="AB136" s="49" t="str">
        <f t="shared" si="338"/>
        <v>#N/A</v>
      </c>
      <c r="AC136" s="49" t="str">
        <f t="shared" si="338"/>
        <v>#N/A</v>
      </c>
      <c r="AF136" s="22"/>
      <c r="AG136" s="22"/>
      <c r="AH136" s="22"/>
      <c r="AI136" s="22"/>
      <c r="AJ136" s="22"/>
      <c r="AK136" s="23"/>
      <c r="AN136" s="24"/>
      <c r="AO136" s="24"/>
      <c r="AX136" s="25"/>
      <c r="BR136" s="25"/>
      <c r="CF136" s="27"/>
      <c r="CG136" s="27"/>
      <c r="CH136" s="27"/>
      <c r="CI136" s="27"/>
      <c r="CJ136" s="27"/>
      <c r="CK136" s="27"/>
    </row>
    <row r="137" ht="14.25" customHeight="1">
      <c r="A137" s="30" t="str">
        <f>Data2026!A150</f>
        <v>North</v>
      </c>
      <c r="B137" s="9">
        <f>Data2026!B150</f>
        <v>46195</v>
      </c>
      <c r="C137" s="11" t="str">
        <f>Data2026!C150</f>
        <v>Fixed</v>
      </c>
      <c r="D137" s="12" t="str">
        <f>Data2026!D150</f>
        <v>North</v>
      </c>
      <c r="E137" s="12" t="str">
        <f>Data2026!E150</f>
        <v>Nini_B</v>
      </c>
      <c r="F137" s="9">
        <f>Data2026!F150</f>
        <v>46195</v>
      </c>
      <c r="G137" s="11">
        <f>Data2026!G150</f>
        <v>1000</v>
      </c>
      <c r="H137" s="30" t="str">
        <f>Data2026!H150</f>
        <v>Finished</v>
      </c>
      <c r="I137" s="30" t="str">
        <f>Data2026!I150</f>
        <v>SEO</v>
      </c>
      <c r="J137" s="9">
        <f>Data2026!J150</f>
        <v>46195</v>
      </c>
      <c r="K137" s="9">
        <f>Data2026!K150</f>
        <v>46225</v>
      </c>
      <c r="L137" s="43">
        <f t="shared" si="2"/>
        <v>0</v>
      </c>
      <c r="M137" s="43">
        <f t="shared" si="3"/>
        <v>0</v>
      </c>
      <c r="N137" s="43">
        <f t="shared" si="4"/>
        <v>0</v>
      </c>
      <c r="O137" s="43">
        <f t="shared" si="5"/>
        <v>0</v>
      </c>
      <c r="P137" s="43">
        <f t="shared" si="6"/>
        <v>0</v>
      </c>
      <c r="Q137" s="43">
        <f t="shared" si="7"/>
        <v>300</v>
      </c>
      <c r="R137" s="49" t="str">
        <f t="shared" ref="R137:W137" si="339">SUMIF(Tableau!$A:$A,$A137,Tableau!E:E)</f>
        <v>#N/A</v>
      </c>
      <c r="S137" s="49" t="str">
        <f t="shared" si="339"/>
        <v>#N/A</v>
      </c>
      <c r="T137" s="49" t="str">
        <f t="shared" si="339"/>
        <v>#N/A</v>
      </c>
      <c r="U137" s="49" t="str">
        <f t="shared" si="339"/>
        <v>#N/A</v>
      </c>
      <c r="V137" s="49" t="str">
        <f t="shared" si="339"/>
        <v>#N/A</v>
      </c>
      <c r="W137" s="49" t="str">
        <f t="shared" si="339"/>
        <v>#N/A</v>
      </c>
      <c r="X137" s="49" t="str">
        <f t="shared" ref="X137:AC137" si="340">SUMIF(Tableau!$A:$A,$A137,Tableau!P:P)</f>
        <v>#N/A</v>
      </c>
      <c r="Y137" s="49" t="str">
        <f t="shared" si="340"/>
        <v>#N/A</v>
      </c>
      <c r="Z137" s="49" t="str">
        <f t="shared" si="340"/>
        <v>#N/A</v>
      </c>
      <c r="AA137" s="49" t="str">
        <f t="shared" si="340"/>
        <v>#N/A</v>
      </c>
      <c r="AB137" s="49" t="str">
        <f t="shared" si="340"/>
        <v>#N/A</v>
      </c>
      <c r="AC137" s="49" t="str">
        <f t="shared" si="340"/>
        <v>#N/A</v>
      </c>
      <c r="AF137" s="22"/>
      <c r="AG137" s="22"/>
      <c r="AH137" s="22"/>
      <c r="AI137" s="22"/>
      <c r="AJ137" s="22"/>
      <c r="AK137" s="23"/>
      <c r="AN137" s="24"/>
      <c r="AO137" s="24"/>
      <c r="AX137" s="25"/>
      <c r="BR137" s="25"/>
      <c r="CF137" s="27"/>
      <c r="CG137" s="27"/>
      <c r="CH137" s="27"/>
      <c r="CI137" s="27"/>
      <c r="CJ137" s="27"/>
      <c r="CK137" s="27"/>
    </row>
    <row r="138" ht="14.25" customHeight="1">
      <c r="A138" s="30" t="str">
        <f>Data2026!A151</f>
        <v>fourreal11</v>
      </c>
      <c r="B138" s="9">
        <f>Data2026!B151</f>
        <v>46197</v>
      </c>
      <c r="C138" s="11" t="str">
        <f>Data2026!C151</f>
        <v>Fixed</v>
      </c>
      <c r="D138" s="12" t="str">
        <f>Data2026!D151</f>
        <v>fourreal11</v>
      </c>
      <c r="E138" s="12" t="str">
        <f>Data2026!E151</f>
        <v>Elene_Gh</v>
      </c>
      <c r="F138" s="9">
        <f>Data2026!F151</f>
        <v>46197</v>
      </c>
      <c r="G138" s="11">
        <f>Data2026!G151</f>
        <v>438.41</v>
      </c>
      <c r="H138" s="30" t="str">
        <f>Data2026!H151</f>
        <v>Finished</v>
      </c>
      <c r="I138" s="30" t="str">
        <f>Data2026!I151</f>
        <v>Influence</v>
      </c>
      <c r="J138" s="9">
        <f>Data2026!J151</f>
        <v>46201</v>
      </c>
      <c r="K138" s="9">
        <f>Data2026!K151</f>
        <v>46202</v>
      </c>
      <c r="L138" s="43">
        <f t="shared" si="2"/>
        <v>0</v>
      </c>
      <c r="M138" s="43">
        <f t="shared" si="3"/>
        <v>0</v>
      </c>
      <c r="N138" s="43">
        <f t="shared" si="4"/>
        <v>0</v>
      </c>
      <c r="O138" s="43">
        <f t="shared" si="5"/>
        <v>0</v>
      </c>
      <c r="P138" s="43">
        <f t="shared" si="6"/>
        <v>0</v>
      </c>
      <c r="Q138" s="43">
        <f t="shared" si="7"/>
        <v>438.41</v>
      </c>
      <c r="R138" s="49" t="str">
        <f t="shared" ref="R138:W138" si="341">SUMIF(Tableau!$A:$A,$A138,Tableau!E:E)</f>
        <v>#N/A</v>
      </c>
      <c r="S138" s="49" t="str">
        <f t="shared" si="341"/>
        <v>#N/A</v>
      </c>
      <c r="T138" s="49" t="str">
        <f t="shared" si="341"/>
        <v>#N/A</v>
      </c>
      <c r="U138" s="49" t="str">
        <f t="shared" si="341"/>
        <v>#N/A</v>
      </c>
      <c r="V138" s="49" t="str">
        <f t="shared" si="341"/>
        <v>#N/A</v>
      </c>
      <c r="W138" s="49" t="str">
        <f t="shared" si="341"/>
        <v>#N/A</v>
      </c>
      <c r="X138" s="49" t="str">
        <f t="shared" ref="X138:AC138" si="342">SUMIF(Tableau!$A:$A,$A138,Tableau!P:P)</f>
        <v>#N/A</v>
      </c>
      <c r="Y138" s="49" t="str">
        <f t="shared" si="342"/>
        <v>#N/A</v>
      </c>
      <c r="Z138" s="49" t="str">
        <f t="shared" si="342"/>
        <v>#N/A</v>
      </c>
      <c r="AA138" s="49" t="str">
        <f t="shared" si="342"/>
        <v>#N/A</v>
      </c>
      <c r="AB138" s="49" t="str">
        <f t="shared" si="342"/>
        <v>#N/A</v>
      </c>
      <c r="AC138" s="49" t="str">
        <f t="shared" si="342"/>
        <v>#N/A</v>
      </c>
      <c r="AF138" s="22"/>
      <c r="AG138" s="22"/>
      <c r="AH138" s="22"/>
      <c r="AI138" s="22"/>
      <c r="AJ138" s="22"/>
      <c r="AK138" s="23"/>
      <c r="AN138" s="24"/>
      <c r="AO138" s="24"/>
      <c r="AX138" s="25"/>
      <c r="BR138" s="25"/>
      <c r="CF138" s="27"/>
      <c r="CG138" s="27"/>
      <c r="CH138" s="27"/>
      <c r="CI138" s="27"/>
      <c r="CJ138" s="27"/>
      <c r="CK138" s="27"/>
    </row>
    <row r="139" ht="14.25" customHeight="1">
      <c r="A139" s="30" t="str">
        <f>Data2026!A152</f>
        <v>bigjuanwins</v>
      </c>
      <c r="B139" s="9">
        <f>Data2026!B152</f>
        <v>46198</v>
      </c>
      <c r="C139" s="11" t="str">
        <f>Data2026!C152</f>
        <v>Fixed</v>
      </c>
      <c r="D139" s="12" t="str">
        <f>Data2026!D152</f>
        <v>bigjuanwins</v>
      </c>
      <c r="E139" s="12" t="str">
        <f>Data2026!E152</f>
        <v>Elene_Gh</v>
      </c>
      <c r="F139" s="9">
        <f>Data2026!F152</f>
        <v>46198</v>
      </c>
      <c r="G139" s="11">
        <f>Data2026!G152</f>
        <v>881.67</v>
      </c>
      <c r="H139" s="30" t="str">
        <f>Data2026!H152</f>
        <v>Scammer</v>
      </c>
      <c r="I139" s="30" t="str">
        <f>Data2026!I152</f>
        <v>Influence</v>
      </c>
      <c r="J139" s="9">
        <f>Data2026!J152</f>
        <v>46198</v>
      </c>
      <c r="K139" s="9">
        <f>Data2026!K152</f>
        <v>46198</v>
      </c>
      <c r="L139" s="43">
        <f t="shared" si="2"/>
        <v>0</v>
      </c>
      <c r="M139" s="43">
        <f t="shared" si="3"/>
        <v>0</v>
      </c>
      <c r="N139" s="43">
        <f t="shared" si="4"/>
        <v>0</v>
      </c>
      <c r="O139" s="43">
        <f t="shared" si="5"/>
        <v>0</v>
      </c>
      <c r="P139" s="43">
        <f t="shared" si="6"/>
        <v>0</v>
      </c>
      <c r="Q139" s="43">
        <f t="shared" si="7"/>
        <v>0</v>
      </c>
      <c r="R139" s="49" t="str">
        <f t="shared" ref="R139:W139" si="343">SUMIF(Tableau!$A:$A,$A139,Tableau!E:E)</f>
        <v>#N/A</v>
      </c>
      <c r="S139" s="49" t="str">
        <f t="shared" si="343"/>
        <v>#N/A</v>
      </c>
      <c r="T139" s="49" t="str">
        <f t="shared" si="343"/>
        <v>#N/A</v>
      </c>
      <c r="U139" s="49" t="str">
        <f t="shared" si="343"/>
        <v>#N/A</v>
      </c>
      <c r="V139" s="49" t="str">
        <f t="shared" si="343"/>
        <v>#N/A</v>
      </c>
      <c r="W139" s="49" t="str">
        <f t="shared" si="343"/>
        <v>#N/A</v>
      </c>
      <c r="X139" s="49" t="str">
        <f t="shared" ref="X139:AC139" si="344">SUMIF(Tableau!$A:$A,$A139,Tableau!P:P)</f>
        <v>#N/A</v>
      </c>
      <c r="Y139" s="49" t="str">
        <f t="shared" si="344"/>
        <v>#N/A</v>
      </c>
      <c r="Z139" s="49" t="str">
        <f t="shared" si="344"/>
        <v>#N/A</v>
      </c>
      <c r="AA139" s="49" t="str">
        <f t="shared" si="344"/>
        <v>#N/A</v>
      </c>
      <c r="AB139" s="49" t="str">
        <f t="shared" si="344"/>
        <v>#N/A</v>
      </c>
      <c r="AC139" s="49" t="str">
        <f t="shared" si="344"/>
        <v>#N/A</v>
      </c>
      <c r="AF139" s="22"/>
      <c r="AG139" s="22"/>
      <c r="AH139" s="22"/>
      <c r="AI139" s="22"/>
      <c r="AJ139" s="22"/>
      <c r="AK139" s="23"/>
      <c r="AN139" s="24"/>
      <c r="AO139" s="24"/>
      <c r="AX139" s="25"/>
      <c r="BR139" s="25"/>
      <c r="CF139" s="27"/>
      <c r="CG139" s="27"/>
      <c r="CH139" s="27"/>
      <c r="CI139" s="27"/>
      <c r="CJ139" s="27"/>
      <c r="CK139" s="27"/>
    </row>
    <row r="140" ht="14.25" customHeight="1">
      <c r="A140" s="30" t="str">
        <f>Data2026!A153</f>
        <v>Cybertribe_Zaayko11</v>
      </c>
      <c r="B140" s="9">
        <f>Data2026!B153</f>
        <v>46198</v>
      </c>
      <c r="C140" s="11" t="str">
        <f>Data2026!C153</f>
        <v>Fixed</v>
      </c>
      <c r="D140" s="12" t="str">
        <f>Data2026!D153</f>
        <v>Cybertribe_Zaayko11</v>
      </c>
      <c r="E140" s="12" t="str">
        <f>Data2026!E153</f>
        <v>Nini_B</v>
      </c>
      <c r="F140" s="9">
        <f>Data2026!F153</f>
        <v>46198</v>
      </c>
      <c r="G140" s="11">
        <f>Data2026!G153</f>
        <v>1100</v>
      </c>
      <c r="H140" s="30" t="str">
        <f>Data2026!H153</f>
        <v>Finished</v>
      </c>
      <c r="I140" s="30" t="str">
        <f>Data2026!I153</f>
        <v>Influence</v>
      </c>
      <c r="J140" s="9">
        <f>Data2026!J153</f>
        <v>46218</v>
      </c>
      <c r="K140" s="9">
        <f>Data2026!K153</f>
        <v>46226</v>
      </c>
      <c r="L140" s="43">
        <f t="shared" si="2"/>
        <v>0</v>
      </c>
      <c r="M140" s="43">
        <f t="shared" si="3"/>
        <v>0</v>
      </c>
      <c r="N140" s="43">
        <f t="shared" si="4"/>
        <v>0</v>
      </c>
      <c r="O140" s="43">
        <f t="shared" si="5"/>
        <v>0</v>
      </c>
      <c r="P140" s="43">
        <f t="shared" si="6"/>
        <v>0</v>
      </c>
      <c r="Q140" s="43">
        <f t="shared" si="7"/>
        <v>0</v>
      </c>
      <c r="R140" s="49" t="str">
        <f t="shared" ref="R140:W140" si="345">SUMIF(Tableau!$A:$A,$A140,Tableau!E:E)</f>
        <v>#N/A</v>
      </c>
      <c r="S140" s="49" t="str">
        <f t="shared" si="345"/>
        <v>#N/A</v>
      </c>
      <c r="T140" s="49" t="str">
        <f t="shared" si="345"/>
        <v>#N/A</v>
      </c>
      <c r="U140" s="49" t="str">
        <f t="shared" si="345"/>
        <v>#N/A</v>
      </c>
      <c r="V140" s="49" t="str">
        <f t="shared" si="345"/>
        <v>#N/A</v>
      </c>
      <c r="W140" s="49" t="str">
        <f t="shared" si="345"/>
        <v>#N/A</v>
      </c>
      <c r="X140" s="49" t="str">
        <f t="shared" ref="X140:AC140" si="346">SUMIF(Tableau!$A:$A,$A140,Tableau!P:P)</f>
        <v>#N/A</v>
      </c>
      <c r="Y140" s="49" t="str">
        <f t="shared" si="346"/>
        <v>#N/A</v>
      </c>
      <c r="Z140" s="49" t="str">
        <f t="shared" si="346"/>
        <v>#N/A</v>
      </c>
      <c r="AA140" s="49" t="str">
        <f t="shared" si="346"/>
        <v>#N/A</v>
      </c>
      <c r="AB140" s="49" t="str">
        <f t="shared" si="346"/>
        <v>#N/A</v>
      </c>
      <c r="AC140" s="49" t="str">
        <f t="shared" si="346"/>
        <v>#N/A</v>
      </c>
      <c r="AF140" s="22"/>
      <c r="AG140" s="22"/>
      <c r="AH140" s="22"/>
      <c r="AI140" s="22"/>
      <c r="AJ140" s="22"/>
      <c r="AK140" s="23"/>
      <c r="AN140" s="24"/>
      <c r="AO140" s="24"/>
      <c r="AX140" s="25"/>
      <c r="BR140" s="25"/>
      <c r="CF140" s="27"/>
      <c r="CG140" s="27"/>
      <c r="CH140" s="27"/>
      <c r="CI140" s="27"/>
      <c r="CJ140" s="27"/>
      <c r="CK140" s="27"/>
    </row>
    <row r="141" ht="14.25" customHeight="1">
      <c r="A141" s="30" t="str">
        <f>Data2026!A154</f>
        <v>NORDIC_005_FJ</v>
      </c>
      <c r="B141" s="9">
        <f>Data2026!B154</f>
        <v>46199</v>
      </c>
      <c r="C141" s="11" t="str">
        <f>Data2026!C154</f>
        <v>Fixed</v>
      </c>
      <c r="D141" s="12" t="str">
        <f>Data2026!D154</f>
        <v>NORDIC_005_FJ</v>
      </c>
      <c r="E141" s="12" t="str">
        <f>Data2026!E154</f>
        <v>Giorgi_Ts</v>
      </c>
      <c r="F141" s="9">
        <f>Data2026!F154</f>
        <v>46199</v>
      </c>
      <c r="G141" s="11">
        <f>Data2026!G154</f>
        <v>3000</v>
      </c>
      <c r="H141" s="30" t="str">
        <f>Data2026!H154</f>
        <v>Finished</v>
      </c>
      <c r="I141" s="30" t="str">
        <f>Data2026!I154</f>
        <v>SEO</v>
      </c>
      <c r="J141" s="9">
        <f>Data2026!J154</f>
        <v>46174</v>
      </c>
      <c r="K141" s="9">
        <f>Data2026!K154</f>
        <v>46218</v>
      </c>
      <c r="L141" s="43">
        <f t="shared" si="2"/>
        <v>0</v>
      </c>
      <c r="M141" s="43">
        <f t="shared" si="3"/>
        <v>0</v>
      </c>
      <c r="N141" s="43">
        <f t="shared" si="4"/>
        <v>0</v>
      </c>
      <c r="O141" s="43">
        <f t="shared" si="5"/>
        <v>0</v>
      </c>
      <c r="P141" s="43">
        <f t="shared" si="6"/>
        <v>0</v>
      </c>
      <c r="Q141" s="43">
        <f t="shared" si="7"/>
        <v>2045.454545</v>
      </c>
      <c r="R141" s="49" t="str">
        <f t="shared" ref="R141:W141" si="347">SUMIF(Tableau!$A:$A,$A141,Tableau!E:E)</f>
        <v>#N/A</v>
      </c>
      <c r="S141" s="49" t="str">
        <f t="shared" si="347"/>
        <v>#N/A</v>
      </c>
      <c r="T141" s="49" t="str">
        <f t="shared" si="347"/>
        <v>#N/A</v>
      </c>
      <c r="U141" s="49" t="str">
        <f t="shared" si="347"/>
        <v>#N/A</v>
      </c>
      <c r="V141" s="49" t="str">
        <f t="shared" si="347"/>
        <v>#N/A</v>
      </c>
      <c r="W141" s="49" t="str">
        <f t="shared" si="347"/>
        <v>#N/A</v>
      </c>
      <c r="X141" s="49" t="str">
        <f t="shared" ref="X141:AC141" si="348">SUMIF(Tableau!$A:$A,$A141,Tableau!P:P)</f>
        <v>#N/A</v>
      </c>
      <c r="Y141" s="49" t="str">
        <f t="shared" si="348"/>
        <v>#N/A</v>
      </c>
      <c r="Z141" s="49" t="str">
        <f t="shared" si="348"/>
        <v>#N/A</v>
      </c>
      <c r="AA141" s="49" t="str">
        <f t="shared" si="348"/>
        <v>#N/A</v>
      </c>
      <c r="AB141" s="49" t="str">
        <f t="shared" si="348"/>
        <v>#N/A</v>
      </c>
      <c r="AC141" s="49" t="str">
        <f t="shared" si="348"/>
        <v>#N/A</v>
      </c>
      <c r="AF141" s="22"/>
      <c r="AG141" s="22"/>
      <c r="AH141" s="22"/>
      <c r="AI141" s="22"/>
      <c r="AJ141" s="22"/>
      <c r="AK141" s="23"/>
      <c r="AN141" s="24"/>
      <c r="AO141" s="24"/>
      <c r="AX141" s="25"/>
      <c r="BR141" s="25"/>
      <c r="CF141" s="27"/>
      <c r="CG141" s="27"/>
      <c r="CH141" s="27"/>
      <c r="CI141" s="27"/>
      <c r="CJ141" s="27"/>
      <c r="CK141" s="27"/>
    </row>
    <row r="142" ht="14.25" customHeight="1">
      <c r="A142" s="118"/>
      <c r="B142" s="118"/>
      <c r="C142" s="118"/>
      <c r="D142" s="119"/>
      <c r="E142" s="119"/>
      <c r="F142" s="118"/>
      <c r="G142" s="118"/>
      <c r="H142" s="118"/>
      <c r="I142" s="118"/>
      <c r="AF142" s="22"/>
      <c r="AG142" s="22"/>
      <c r="AH142" s="22"/>
      <c r="AI142" s="22"/>
      <c r="AJ142" s="22"/>
      <c r="AK142" s="23"/>
      <c r="AN142" s="24"/>
      <c r="AO142" s="24"/>
      <c r="AX142" s="25"/>
      <c r="BR142" s="25"/>
      <c r="CF142" s="27"/>
      <c r="CG142" s="27"/>
      <c r="CH142" s="27"/>
      <c r="CI142" s="27"/>
      <c r="CJ142" s="27"/>
      <c r="CK142" s="27"/>
    </row>
    <row r="143" ht="14.25" customHeight="1">
      <c r="A143" s="118"/>
      <c r="B143" s="118"/>
      <c r="C143" s="118"/>
      <c r="D143" s="119"/>
      <c r="E143" s="119"/>
      <c r="F143" s="118"/>
      <c r="G143" s="118"/>
      <c r="H143" s="118"/>
      <c r="I143" s="118"/>
      <c r="AF143" s="22"/>
      <c r="AG143" s="22"/>
      <c r="AH143" s="22"/>
      <c r="AI143" s="22"/>
      <c r="AJ143" s="22"/>
      <c r="AK143" s="23"/>
      <c r="AN143" s="24"/>
      <c r="AO143" s="24"/>
      <c r="AX143" s="25"/>
      <c r="BR143" s="25"/>
      <c r="CF143" s="27"/>
      <c r="CG143" s="27"/>
      <c r="CH143" s="27"/>
      <c r="CI143" s="27"/>
      <c r="CJ143" s="27"/>
      <c r="CK143" s="27"/>
    </row>
    <row r="144" ht="14.25" customHeight="1">
      <c r="A144" s="118"/>
      <c r="B144" s="118"/>
      <c r="C144" s="118"/>
      <c r="D144" s="119"/>
      <c r="E144" s="119"/>
      <c r="F144" s="118"/>
      <c r="G144" s="118"/>
      <c r="H144" s="118"/>
      <c r="I144" s="118"/>
      <c r="AF144" s="22"/>
      <c r="AG144" s="22"/>
      <c r="AH144" s="22"/>
      <c r="AI144" s="22"/>
      <c r="AJ144" s="22"/>
      <c r="AK144" s="23"/>
      <c r="AN144" s="24"/>
      <c r="AO144" s="24"/>
      <c r="AX144" s="25"/>
      <c r="BR144" s="25"/>
      <c r="CF144" s="27"/>
      <c r="CG144" s="27"/>
      <c r="CH144" s="27"/>
      <c r="CI144" s="27"/>
      <c r="CJ144" s="27"/>
      <c r="CK144" s="27"/>
    </row>
    <row r="145" ht="14.25" customHeight="1">
      <c r="A145" s="118"/>
      <c r="B145" s="118"/>
      <c r="C145" s="118"/>
      <c r="D145" s="119"/>
      <c r="E145" s="119"/>
      <c r="F145" s="118"/>
      <c r="G145" s="118"/>
      <c r="H145" s="118"/>
      <c r="I145" s="118"/>
      <c r="AF145" s="22"/>
      <c r="AG145" s="22"/>
      <c r="AH145" s="22"/>
      <c r="AI145" s="22"/>
      <c r="AJ145" s="22"/>
      <c r="AK145" s="23"/>
      <c r="AN145" s="24"/>
      <c r="AO145" s="24"/>
      <c r="AX145" s="25"/>
      <c r="BR145" s="25"/>
      <c r="CF145" s="27"/>
      <c r="CG145" s="27"/>
      <c r="CH145" s="27"/>
      <c r="CI145" s="27"/>
      <c r="CJ145" s="27"/>
      <c r="CK145" s="27"/>
    </row>
    <row r="146" ht="14.25" customHeight="1">
      <c r="A146" s="118"/>
      <c r="B146" s="118"/>
      <c r="C146" s="118"/>
      <c r="D146" s="119"/>
      <c r="E146" s="119"/>
      <c r="F146" s="118"/>
      <c r="G146" s="118"/>
      <c r="H146" s="118"/>
      <c r="I146" s="118"/>
      <c r="AF146" s="22"/>
      <c r="AG146" s="22"/>
      <c r="AH146" s="22"/>
      <c r="AI146" s="22"/>
      <c r="AJ146" s="22"/>
      <c r="AK146" s="23"/>
      <c r="AN146" s="24"/>
      <c r="AO146" s="24"/>
      <c r="AX146" s="25"/>
      <c r="BR146" s="25"/>
      <c r="CF146" s="27"/>
      <c r="CG146" s="27"/>
      <c r="CH146" s="27"/>
      <c r="CI146" s="27"/>
      <c r="CJ146" s="27"/>
      <c r="CK146" s="27"/>
    </row>
    <row r="147" ht="14.25" customHeight="1">
      <c r="A147" s="118"/>
      <c r="B147" s="118"/>
      <c r="C147" s="118"/>
      <c r="D147" s="119"/>
      <c r="E147" s="119"/>
      <c r="F147" s="118"/>
      <c r="G147" s="118"/>
      <c r="H147" s="118"/>
      <c r="I147" s="118"/>
      <c r="AF147" s="22"/>
      <c r="AG147" s="22"/>
      <c r="AH147" s="22"/>
      <c r="AI147" s="22"/>
      <c r="AJ147" s="22"/>
      <c r="AK147" s="23"/>
      <c r="AN147" s="24"/>
      <c r="AO147" s="24"/>
      <c r="AX147" s="25"/>
      <c r="BR147" s="25"/>
      <c r="CF147" s="27"/>
      <c r="CG147" s="27"/>
      <c r="CH147" s="27"/>
      <c r="CI147" s="27"/>
      <c r="CJ147" s="27"/>
      <c r="CK147" s="27"/>
    </row>
    <row r="148" ht="14.25" customHeight="1">
      <c r="A148" s="118"/>
      <c r="B148" s="118"/>
      <c r="C148" s="118"/>
      <c r="D148" s="119"/>
      <c r="E148" s="119"/>
      <c r="F148" s="118"/>
      <c r="G148" s="118"/>
      <c r="H148" s="118"/>
      <c r="I148" s="118"/>
      <c r="AF148" s="22"/>
      <c r="AG148" s="22"/>
      <c r="AH148" s="22"/>
      <c r="AI148" s="22"/>
      <c r="AJ148" s="22"/>
      <c r="AK148" s="23"/>
      <c r="AN148" s="24"/>
      <c r="AO148" s="24"/>
      <c r="AX148" s="25"/>
      <c r="BR148" s="25"/>
      <c r="CF148" s="27"/>
      <c r="CG148" s="27"/>
      <c r="CH148" s="27"/>
      <c r="CI148" s="27"/>
      <c r="CJ148" s="27"/>
      <c r="CK148" s="27"/>
    </row>
    <row r="149" ht="14.25" customHeight="1">
      <c r="A149" s="118"/>
      <c r="B149" s="118"/>
      <c r="C149" s="118"/>
      <c r="D149" s="119"/>
      <c r="E149" s="119"/>
      <c r="F149" s="118"/>
      <c r="G149" s="118"/>
      <c r="H149" s="118"/>
      <c r="I149" s="118"/>
      <c r="AF149" s="22"/>
      <c r="AG149" s="22"/>
      <c r="AH149" s="22"/>
      <c r="AI149" s="22"/>
      <c r="AJ149" s="22"/>
      <c r="AK149" s="23"/>
      <c r="AN149" s="24"/>
      <c r="AO149" s="24"/>
      <c r="AX149" s="25"/>
      <c r="BR149" s="25"/>
      <c r="CF149" s="27"/>
      <c r="CG149" s="27"/>
      <c r="CH149" s="27"/>
      <c r="CI149" s="27"/>
      <c r="CJ149" s="27"/>
      <c r="CK149" s="27"/>
    </row>
    <row r="150" ht="14.25" customHeight="1">
      <c r="A150" s="118"/>
      <c r="B150" s="118"/>
      <c r="C150" s="118"/>
      <c r="D150" s="119"/>
      <c r="E150" s="119"/>
      <c r="F150" s="118"/>
      <c r="G150" s="118"/>
      <c r="H150" s="118"/>
      <c r="I150" s="118"/>
      <c r="AF150" s="22"/>
      <c r="AG150" s="22"/>
      <c r="AH150" s="22"/>
      <c r="AI150" s="22"/>
      <c r="AJ150" s="22"/>
      <c r="AK150" s="23"/>
      <c r="AN150" s="24"/>
      <c r="AO150" s="24"/>
      <c r="AX150" s="25"/>
      <c r="BR150" s="25"/>
      <c r="CF150" s="27"/>
      <c r="CG150" s="27"/>
      <c r="CH150" s="27"/>
      <c r="CI150" s="27"/>
      <c r="CJ150" s="27"/>
      <c r="CK150" s="27"/>
    </row>
    <row r="151" ht="14.25" customHeight="1">
      <c r="A151" s="118"/>
      <c r="B151" s="118"/>
      <c r="C151" s="118"/>
      <c r="D151" s="119"/>
      <c r="E151" s="119"/>
      <c r="F151" s="118"/>
      <c r="G151" s="118"/>
      <c r="H151" s="118"/>
      <c r="I151" s="118"/>
      <c r="AF151" s="22"/>
      <c r="AG151" s="22"/>
      <c r="AH151" s="22"/>
      <c r="AI151" s="22"/>
      <c r="AJ151" s="22"/>
      <c r="AK151" s="23"/>
      <c r="AN151" s="24"/>
      <c r="AO151" s="24"/>
      <c r="AX151" s="25"/>
      <c r="BR151" s="25"/>
      <c r="CF151" s="27"/>
      <c r="CG151" s="27"/>
      <c r="CH151" s="27"/>
      <c r="CI151" s="27"/>
      <c r="CJ151" s="27"/>
      <c r="CK151" s="27"/>
    </row>
    <row r="152" ht="14.25" customHeight="1">
      <c r="A152" s="118"/>
      <c r="B152" s="118"/>
      <c r="C152" s="118"/>
      <c r="D152" s="119"/>
      <c r="E152" s="119"/>
      <c r="F152" s="118"/>
      <c r="G152" s="118"/>
      <c r="H152" s="118"/>
      <c r="I152" s="118"/>
      <c r="AF152" s="22"/>
      <c r="AG152" s="22"/>
      <c r="AH152" s="22"/>
      <c r="AI152" s="22"/>
      <c r="AJ152" s="22"/>
      <c r="AK152" s="23"/>
      <c r="AN152" s="24"/>
      <c r="AO152" s="24"/>
      <c r="AX152" s="25"/>
      <c r="BR152" s="25"/>
      <c r="CF152" s="27"/>
      <c r="CG152" s="27"/>
      <c r="CH152" s="27"/>
      <c r="CI152" s="27"/>
      <c r="CJ152" s="27"/>
      <c r="CK152" s="27"/>
    </row>
    <row r="153" ht="14.25" customHeight="1">
      <c r="A153" s="118"/>
      <c r="B153" s="118"/>
      <c r="C153" s="118"/>
      <c r="D153" s="119"/>
      <c r="E153" s="119"/>
      <c r="F153" s="118"/>
      <c r="G153" s="118"/>
      <c r="H153" s="118"/>
      <c r="I153" s="118"/>
      <c r="AF153" s="22"/>
      <c r="AG153" s="22"/>
      <c r="AH153" s="22"/>
      <c r="AI153" s="22"/>
      <c r="AJ153" s="22"/>
      <c r="AK153" s="23"/>
      <c r="AN153" s="24"/>
      <c r="AO153" s="24"/>
      <c r="AX153" s="25"/>
      <c r="BR153" s="25"/>
      <c r="CF153" s="27"/>
      <c r="CG153" s="27"/>
      <c r="CH153" s="27"/>
      <c r="CI153" s="27"/>
      <c r="CJ153" s="27"/>
      <c r="CK153" s="27"/>
    </row>
    <row r="154" ht="14.25" customHeight="1">
      <c r="A154" s="118"/>
      <c r="B154" s="118"/>
      <c r="C154" s="118"/>
      <c r="D154" s="119"/>
      <c r="E154" s="119"/>
      <c r="F154" s="118"/>
      <c r="G154" s="118"/>
      <c r="H154" s="118"/>
      <c r="I154" s="118"/>
      <c r="AF154" s="22"/>
      <c r="AG154" s="22"/>
      <c r="AH154" s="22"/>
      <c r="AI154" s="22"/>
      <c r="AJ154" s="22"/>
      <c r="AK154" s="23"/>
      <c r="AN154" s="24"/>
      <c r="AO154" s="24"/>
      <c r="AX154" s="25"/>
      <c r="BR154" s="25"/>
      <c r="CF154" s="27"/>
      <c r="CG154" s="27"/>
      <c r="CH154" s="27"/>
      <c r="CI154" s="27"/>
      <c r="CJ154" s="27"/>
      <c r="CK154" s="27"/>
    </row>
    <row r="155" ht="14.25" customHeight="1">
      <c r="A155" s="118"/>
      <c r="B155" s="118"/>
      <c r="C155" s="118"/>
      <c r="D155" s="119"/>
      <c r="E155" s="119"/>
      <c r="F155" s="118"/>
      <c r="G155" s="118"/>
      <c r="H155" s="118"/>
      <c r="I155" s="118"/>
      <c r="AF155" s="22"/>
      <c r="AG155" s="22"/>
      <c r="AH155" s="22"/>
      <c r="AI155" s="22"/>
      <c r="AJ155" s="22"/>
      <c r="AK155" s="23"/>
      <c r="AN155" s="24"/>
      <c r="AO155" s="24"/>
      <c r="AX155" s="25"/>
      <c r="BR155" s="25"/>
      <c r="CF155" s="27"/>
      <c r="CG155" s="27"/>
      <c r="CH155" s="27"/>
      <c r="CI155" s="27"/>
      <c r="CJ155" s="27"/>
      <c r="CK155" s="27"/>
    </row>
    <row r="156" ht="14.25" customHeight="1">
      <c r="A156" s="118"/>
      <c r="B156" s="118"/>
      <c r="C156" s="118"/>
      <c r="D156" s="119"/>
      <c r="E156" s="119"/>
      <c r="F156" s="118"/>
      <c r="G156" s="118"/>
      <c r="H156" s="118"/>
      <c r="I156" s="118"/>
      <c r="AF156" s="22"/>
      <c r="AG156" s="22"/>
      <c r="AH156" s="22"/>
      <c r="AI156" s="22"/>
      <c r="AJ156" s="22"/>
      <c r="AK156" s="23"/>
      <c r="AN156" s="24"/>
      <c r="AO156" s="24"/>
      <c r="AX156" s="25"/>
      <c r="BR156" s="25"/>
      <c r="CF156" s="27"/>
      <c r="CG156" s="27"/>
      <c r="CH156" s="27"/>
      <c r="CI156" s="27"/>
      <c r="CJ156" s="27"/>
      <c r="CK156" s="27"/>
    </row>
    <row r="157" ht="14.25" customHeight="1">
      <c r="A157" s="118"/>
      <c r="B157" s="118"/>
      <c r="C157" s="118"/>
      <c r="D157" s="119"/>
      <c r="E157" s="119"/>
      <c r="F157" s="118"/>
      <c r="G157" s="118"/>
      <c r="H157" s="118"/>
      <c r="I157" s="118"/>
      <c r="AF157" s="22"/>
      <c r="AG157" s="22"/>
      <c r="AH157" s="22"/>
      <c r="AI157" s="22"/>
      <c r="AJ157" s="22"/>
      <c r="AK157" s="23"/>
      <c r="AN157" s="24"/>
      <c r="AO157" s="24"/>
      <c r="AX157" s="25"/>
      <c r="BR157" s="25"/>
      <c r="CF157" s="27"/>
      <c r="CG157" s="27"/>
      <c r="CH157" s="27"/>
      <c r="CI157" s="27"/>
      <c r="CJ157" s="27"/>
      <c r="CK157" s="27"/>
    </row>
    <row r="158" ht="14.25" customHeight="1">
      <c r="A158" s="118"/>
      <c r="B158" s="118"/>
      <c r="C158" s="118"/>
      <c r="D158" s="119"/>
      <c r="E158" s="119"/>
      <c r="F158" s="118"/>
      <c r="G158" s="118"/>
      <c r="H158" s="118"/>
      <c r="I158" s="118"/>
      <c r="AF158" s="22"/>
      <c r="AG158" s="22"/>
      <c r="AH158" s="22"/>
      <c r="AI158" s="22"/>
      <c r="AJ158" s="22"/>
      <c r="AK158" s="23"/>
      <c r="AN158" s="24"/>
      <c r="AO158" s="24"/>
      <c r="AX158" s="25"/>
      <c r="BR158" s="25"/>
      <c r="CF158" s="27"/>
      <c r="CG158" s="27"/>
      <c r="CH158" s="27"/>
      <c r="CI158" s="27"/>
      <c r="CJ158" s="27"/>
      <c r="CK158" s="27"/>
    </row>
    <row r="159" ht="14.25" customHeight="1">
      <c r="A159" s="118"/>
      <c r="B159" s="118"/>
      <c r="C159" s="118"/>
      <c r="D159" s="119"/>
      <c r="E159" s="119"/>
      <c r="F159" s="118"/>
      <c r="G159" s="118"/>
      <c r="H159" s="118"/>
      <c r="I159" s="118"/>
      <c r="AF159" s="22"/>
      <c r="AG159" s="22"/>
      <c r="AH159" s="22"/>
      <c r="AI159" s="22"/>
      <c r="AJ159" s="22"/>
      <c r="AK159" s="23"/>
      <c r="AN159" s="24"/>
      <c r="AO159" s="24"/>
      <c r="AX159" s="25"/>
      <c r="BR159" s="25"/>
      <c r="CF159" s="27"/>
      <c r="CG159" s="27"/>
      <c r="CH159" s="27"/>
      <c r="CI159" s="27"/>
      <c r="CJ159" s="27"/>
      <c r="CK159" s="27"/>
    </row>
    <row r="160" ht="14.25" customHeight="1">
      <c r="A160" s="118"/>
      <c r="B160" s="118"/>
      <c r="C160" s="118"/>
      <c r="D160" s="119"/>
      <c r="E160" s="119"/>
      <c r="F160" s="118"/>
      <c r="G160" s="118"/>
      <c r="H160" s="118"/>
      <c r="I160" s="118"/>
      <c r="AF160" s="22"/>
      <c r="AG160" s="22"/>
      <c r="AH160" s="22"/>
      <c r="AI160" s="22"/>
      <c r="AJ160" s="22"/>
      <c r="AK160" s="23"/>
      <c r="AN160" s="24"/>
      <c r="AO160" s="24"/>
      <c r="AX160" s="25"/>
      <c r="BR160" s="25"/>
      <c r="CF160" s="27"/>
      <c r="CG160" s="27"/>
      <c r="CH160" s="27"/>
      <c r="CI160" s="27"/>
      <c r="CJ160" s="27"/>
      <c r="CK160" s="27"/>
    </row>
    <row r="161" ht="14.25" customHeight="1">
      <c r="A161" s="118"/>
      <c r="B161" s="118"/>
      <c r="C161" s="118"/>
      <c r="D161" s="119"/>
      <c r="E161" s="119"/>
      <c r="F161" s="118"/>
      <c r="G161" s="118"/>
      <c r="H161" s="118"/>
      <c r="I161" s="118"/>
      <c r="AF161" s="22"/>
      <c r="AG161" s="22"/>
      <c r="AH161" s="22"/>
      <c r="AI161" s="22"/>
      <c r="AJ161" s="22"/>
      <c r="AK161" s="23"/>
      <c r="AN161" s="24"/>
      <c r="AO161" s="24"/>
      <c r="AX161" s="25"/>
      <c r="BR161" s="25"/>
      <c r="CF161" s="27"/>
      <c r="CG161" s="27"/>
      <c r="CH161" s="27"/>
      <c r="CI161" s="27"/>
      <c r="CJ161" s="27"/>
      <c r="CK161" s="27"/>
    </row>
    <row r="162" ht="14.25" customHeight="1">
      <c r="A162" s="118"/>
      <c r="B162" s="118"/>
      <c r="C162" s="118"/>
      <c r="D162" s="119"/>
      <c r="E162" s="119"/>
      <c r="F162" s="118"/>
      <c r="G162" s="118"/>
      <c r="H162" s="118"/>
      <c r="I162" s="118"/>
      <c r="AF162" s="22"/>
      <c r="AG162" s="22"/>
      <c r="AH162" s="22"/>
      <c r="AI162" s="22"/>
      <c r="AJ162" s="22"/>
      <c r="AK162" s="23"/>
      <c r="AN162" s="24"/>
      <c r="AO162" s="24"/>
      <c r="AX162" s="25"/>
      <c r="BR162" s="25"/>
      <c r="CF162" s="27"/>
      <c r="CG162" s="27"/>
      <c r="CH162" s="27"/>
      <c r="CI162" s="27"/>
      <c r="CJ162" s="27"/>
      <c r="CK162" s="27"/>
    </row>
    <row r="163" ht="14.25" customHeight="1">
      <c r="A163" s="118"/>
      <c r="B163" s="118"/>
      <c r="C163" s="118"/>
      <c r="D163" s="119"/>
      <c r="E163" s="119"/>
      <c r="F163" s="118"/>
      <c r="G163" s="118"/>
      <c r="H163" s="118"/>
      <c r="I163" s="118"/>
      <c r="AF163" s="22"/>
      <c r="AG163" s="22"/>
      <c r="AH163" s="22"/>
      <c r="AI163" s="22"/>
      <c r="AJ163" s="22"/>
      <c r="AK163" s="23"/>
      <c r="AN163" s="24"/>
      <c r="AO163" s="24"/>
      <c r="AX163" s="25"/>
      <c r="BR163" s="25"/>
      <c r="CF163" s="27"/>
      <c r="CG163" s="27"/>
      <c r="CH163" s="27"/>
      <c r="CI163" s="27"/>
      <c r="CJ163" s="27"/>
      <c r="CK163" s="27"/>
    </row>
    <row r="164" ht="14.25" customHeight="1">
      <c r="A164" s="118"/>
      <c r="B164" s="118"/>
      <c r="C164" s="118"/>
      <c r="D164" s="119"/>
      <c r="E164" s="119"/>
      <c r="F164" s="118"/>
      <c r="G164" s="118"/>
      <c r="H164" s="118"/>
      <c r="I164" s="118"/>
      <c r="AF164" s="22"/>
      <c r="AG164" s="22"/>
      <c r="AH164" s="22"/>
      <c r="AI164" s="22"/>
      <c r="AJ164" s="22"/>
      <c r="AK164" s="23"/>
      <c r="AN164" s="24"/>
      <c r="AO164" s="24"/>
      <c r="AX164" s="25"/>
      <c r="BR164" s="25"/>
      <c r="CF164" s="27"/>
      <c r="CG164" s="27"/>
      <c r="CH164" s="27"/>
      <c r="CI164" s="27"/>
      <c r="CJ164" s="27"/>
      <c r="CK164" s="27"/>
    </row>
    <row r="165" ht="14.25" customHeight="1">
      <c r="A165" s="118"/>
      <c r="B165" s="118"/>
      <c r="C165" s="118"/>
      <c r="D165" s="119"/>
      <c r="E165" s="119"/>
      <c r="F165" s="118"/>
      <c r="G165" s="118"/>
      <c r="H165" s="118"/>
      <c r="I165" s="118"/>
      <c r="AF165" s="22"/>
      <c r="AG165" s="22"/>
      <c r="AH165" s="22"/>
      <c r="AI165" s="22"/>
      <c r="AJ165" s="22"/>
      <c r="AK165" s="23"/>
      <c r="AN165" s="24"/>
      <c r="AO165" s="24"/>
      <c r="AX165" s="25"/>
      <c r="BR165" s="25"/>
      <c r="CF165" s="27"/>
      <c r="CG165" s="27"/>
      <c r="CH165" s="27"/>
      <c r="CI165" s="27"/>
      <c r="CJ165" s="27"/>
      <c r="CK165" s="27"/>
    </row>
    <row r="166" ht="14.25" customHeight="1">
      <c r="A166" s="118"/>
      <c r="B166" s="118"/>
      <c r="C166" s="118"/>
      <c r="D166" s="119"/>
      <c r="E166" s="119"/>
      <c r="F166" s="118"/>
      <c r="G166" s="118"/>
      <c r="H166" s="118"/>
      <c r="I166" s="118"/>
      <c r="AF166" s="22"/>
      <c r="AG166" s="22"/>
      <c r="AH166" s="22"/>
      <c r="AI166" s="22"/>
      <c r="AJ166" s="22"/>
      <c r="AK166" s="23"/>
      <c r="AN166" s="24"/>
      <c r="AO166" s="24"/>
      <c r="AX166" s="25"/>
      <c r="BR166" s="25"/>
      <c r="CF166" s="27"/>
      <c r="CG166" s="27"/>
      <c r="CH166" s="27"/>
      <c r="CI166" s="27"/>
      <c r="CJ166" s="27"/>
      <c r="CK166" s="27"/>
    </row>
    <row r="167" ht="14.25" customHeight="1">
      <c r="A167" s="118"/>
      <c r="B167" s="118"/>
      <c r="C167" s="118"/>
      <c r="D167" s="119"/>
      <c r="E167" s="119"/>
      <c r="F167" s="118"/>
      <c r="G167" s="118"/>
      <c r="H167" s="118"/>
      <c r="I167" s="118"/>
      <c r="AF167" s="22"/>
      <c r="AG167" s="22"/>
      <c r="AH167" s="22"/>
      <c r="AI167" s="22"/>
      <c r="AJ167" s="22"/>
      <c r="AK167" s="23"/>
      <c r="AN167" s="24"/>
      <c r="AO167" s="24"/>
      <c r="AX167" s="25"/>
      <c r="BR167" s="25"/>
      <c r="CF167" s="27"/>
      <c r="CG167" s="27"/>
      <c r="CH167" s="27"/>
      <c r="CI167" s="27"/>
      <c r="CJ167" s="27"/>
      <c r="CK167" s="27"/>
    </row>
    <row r="168" ht="14.25" customHeight="1">
      <c r="A168" s="118"/>
      <c r="B168" s="118"/>
      <c r="C168" s="118"/>
      <c r="D168" s="119"/>
      <c r="E168" s="119"/>
      <c r="F168" s="118"/>
      <c r="G168" s="118"/>
      <c r="H168" s="118"/>
      <c r="I168" s="118"/>
      <c r="AF168" s="22"/>
      <c r="AG168" s="22"/>
      <c r="AH168" s="22"/>
      <c r="AI168" s="22"/>
      <c r="AJ168" s="22"/>
      <c r="AK168" s="23"/>
      <c r="AN168" s="24"/>
      <c r="AO168" s="24"/>
      <c r="AX168" s="25"/>
      <c r="BR168" s="25"/>
      <c r="CF168" s="27"/>
      <c r="CG168" s="27"/>
      <c r="CH168" s="27"/>
      <c r="CI168" s="27"/>
      <c r="CJ168" s="27"/>
      <c r="CK168" s="27"/>
    </row>
    <row r="169" ht="14.25" customHeight="1">
      <c r="A169" s="118"/>
      <c r="B169" s="118"/>
      <c r="C169" s="118"/>
      <c r="D169" s="119"/>
      <c r="E169" s="119"/>
      <c r="F169" s="118"/>
      <c r="G169" s="118"/>
      <c r="H169" s="118"/>
      <c r="I169" s="118"/>
      <c r="AF169" s="22"/>
      <c r="AG169" s="22"/>
      <c r="AH169" s="22"/>
      <c r="AI169" s="22"/>
      <c r="AJ169" s="22"/>
      <c r="AK169" s="23"/>
      <c r="AN169" s="24"/>
      <c r="AO169" s="24"/>
      <c r="AX169" s="25"/>
      <c r="BR169" s="25"/>
      <c r="CF169" s="27"/>
      <c r="CG169" s="27"/>
      <c r="CH169" s="27"/>
      <c r="CI169" s="27"/>
      <c r="CJ169" s="27"/>
      <c r="CK169" s="27"/>
    </row>
    <row r="170" ht="14.25" customHeight="1">
      <c r="A170" s="118"/>
      <c r="B170" s="118"/>
      <c r="C170" s="118"/>
      <c r="D170" s="119"/>
      <c r="E170" s="119"/>
      <c r="F170" s="118"/>
      <c r="G170" s="118"/>
      <c r="H170" s="118"/>
      <c r="I170" s="118"/>
      <c r="AF170" s="22"/>
      <c r="AG170" s="22"/>
      <c r="AH170" s="22"/>
      <c r="AI170" s="22"/>
      <c r="AJ170" s="22"/>
      <c r="AK170" s="23"/>
      <c r="AN170" s="24"/>
      <c r="AO170" s="24"/>
      <c r="AX170" s="25"/>
      <c r="BR170" s="25"/>
      <c r="CF170" s="27"/>
      <c r="CG170" s="27"/>
      <c r="CH170" s="27"/>
      <c r="CI170" s="27"/>
      <c r="CJ170" s="27"/>
      <c r="CK170" s="27"/>
    </row>
    <row r="171" ht="14.25" customHeight="1">
      <c r="A171" s="118"/>
      <c r="B171" s="118"/>
      <c r="C171" s="118"/>
      <c r="D171" s="119"/>
      <c r="E171" s="119"/>
      <c r="F171" s="118"/>
      <c r="G171" s="118"/>
      <c r="H171" s="118"/>
      <c r="I171" s="118"/>
      <c r="AF171" s="22"/>
      <c r="AG171" s="22"/>
      <c r="AH171" s="22"/>
      <c r="AI171" s="22"/>
      <c r="AJ171" s="22"/>
      <c r="AK171" s="23"/>
      <c r="AN171" s="24"/>
      <c r="AO171" s="24"/>
      <c r="AX171" s="25"/>
      <c r="BR171" s="25"/>
      <c r="CF171" s="27"/>
      <c r="CG171" s="27"/>
      <c r="CH171" s="27"/>
      <c r="CI171" s="27"/>
      <c r="CJ171" s="27"/>
      <c r="CK171" s="27"/>
    </row>
    <row r="172" ht="14.25" customHeight="1">
      <c r="A172" s="118"/>
      <c r="B172" s="118"/>
      <c r="C172" s="118"/>
      <c r="D172" s="119"/>
      <c r="E172" s="119"/>
      <c r="F172" s="118"/>
      <c r="G172" s="118"/>
      <c r="H172" s="118"/>
      <c r="I172" s="118"/>
      <c r="AF172" s="22"/>
      <c r="AG172" s="22"/>
      <c r="AH172" s="22"/>
      <c r="AI172" s="22"/>
      <c r="AJ172" s="22"/>
      <c r="AK172" s="23"/>
      <c r="AN172" s="24"/>
      <c r="AO172" s="24"/>
      <c r="AX172" s="25"/>
      <c r="BR172" s="25"/>
      <c r="CF172" s="27"/>
      <c r="CG172" s="27"/>
      <c r="CH172" s="27"/>
      <c r="CI172" s="27"/>
      <c r="CJ172" s="27"/>
      <c r="CK172" s="27"/>
    </row>
    <row r="173" ht="14.25" customHeight="1">
      <c r="A173" s="118"/>
      <c r="B173" s="118"/>
      <c r="C173" s="118"/>
      <c r="D173" s="119"/>
      <c r="E173" s="119"/>
      <c r="F173" s="118"/>
      <c r="G173" s="118"/>
      <c r="H173" s="118"/>
      <c r="I173" s="118"/>
      <c r="AF173" s="22"/>
      <c r="AG173" s="22"/>
      <c r="AH173" s="22"/>
      <c r="AI173" s="22"/>
      <c r="AJ173" s="22"/>
      <c r="AK173" s="23"/>
      <c r="AN173" s="24"/>
      <c r="AO173" s="24"/>
      <c r="AX173" s="25"/>
      <c r="BR173" s="25"/>
      <c r="CF173" s="27"/>
      <c r="CG173" s="27"/>
      <c r="CH173" s="27"/>
      <c r="CI173" s="27"/>
      <c r="CJ173" s="27"/>
      <c r="CK173" s="27"/>
    </row>
    <row r="174" ht="14.25" customHeight="1">
      <c r="A174" s="118"/>
      <c r="B174" s="118"/>
      <c r="C174" s="118"/>
      <c r="D174" s="119"/>
      <c r="E174" s="119"/>
      <c r="F174" s="118"/>
      <c r="G174" s="118"/>
      <c r="H174" s="118"/>
      <c r="I174" s="118"/>
      <c r="AF174" s="22"/>
      <c r="AG174" s="22"/>
      <c r="AH174" s="22"/>
      <c r="AI174" s="22"/>
      <c r="AJ174" s="22"/>
      <c r="AK174" s="23"/>
      <c r="AN174" s="24"/>
      <c r="AO174" s="24"/>
      <c r="AX174" s="25"/>
      <c r="BR174" s="25"/>
      <c r="CF174" s="27"/>
      <c r="CG174" s="27"/>
      <c r="CH174" s="27"/>
      <c r="CI174" s="27"/>
      <c r="CJ174" s="27"/>
      <c r="CK174" s="27"/>
    </row>
    <row r="175" ht="14.25" customHeight="1">
      <c r="A175" s="118"/>
      <c r="B175" s="118"/>
      <c r="C175" s="118"/>
      <c r="D175" s="119"/>
      <c r="E175" s="119"/>
      <c r="F175" s="118"/>
      <c r="G175" s="118"/>
      <c r="H175" s="118"/>
      <c r="I175" s="118"/>
      <c r="AF175" s="22"/>
      <c r="AG175" s="22"/>
      <c r="AH175" s="22"/>
      <c r="AI175" s="22"/>
      <c r="AJ175" s="22"/>
      <c r="AK175" s="23"/>
      <c r="AN175" s="24"/>
      <c r="AO175" s="24"/>
      <c r="AX175" s="25"/>
      <c r="BR175" s="25"/>
      <c r="CF175" s="27"/>
      <c r="CG175" s="27"/>
      <c r="CH175" s="27"/>
      <c r="CI175" s="27"/>
      <c r="CJ175" s="27"/>
      <c r="CK175" s="27"/>
    </row>
    <row r="176" ht="14.25" customHeight="1">
      <c r="A176" s="118"/>
      <c r="B176" s="118"/>
      <c r="C176" s="118"/>
      <c r="D176" s="119"/>
      <c r="E176" s="119"/>
      <c r="F176" s="118"/>
      <c r="G176" s="118"/>
      <c r="H176" s="118"/>
      <c r="I176" s="118"/>
      <c r="AF176" s="22"/>
      <c r="AG176" s="22"/>
      <c r="AH176" s="22"/>
      <c r="AI176" s="22"/>
      <c r="AJ176" s="22"/>
      <c r="AK176" s="23"/>
      <c r="AN176" s="24"/>
      <c r="AO176" s="24"/>
      <c r="AX176" s="25"/>
      <c r="BR176" s="25"/>
      <c r="CF176" s="27"/>
      <c r="CG176" s="27"/>
      <c r="CH176" s="27"/>
      <c r="CI176" s="27"/>
      <c r="CJ176" s="27"/>
      <c r="CK176" s="27"/>
    </row>
    <row r="177" ht="14.25" customHeight="1">
      <c r="A177" s="118"/>
      <c r="B177" s="118"/>
      <c r="C177" s="118"/>
      <c r="D177" s="119"/>
      <c r="E177" s="119"/>
      <c r="F177" s="118"/>
      <c r="G177" s="118"/>
      <c r="H177" s="118"/>
      <c r="I177" s="118"/>
      <c r="AF177" s="22"/>
      <c r="AG177" s="22"/>
      <c r="AH177" s="22"/>
      <c r="AI177" s="22"/>
      <c r="AJ177" s="22"/>
      <c r="AK177" s="23"/>
      <c r="AN177" s="24"/>
      <c r="AO177" s="24"/>
      <c r="AX177" s="25"/>
      <c r="BR177" s="25"/>
      <c r="CF177" s="27"/>
      <c r="CG177" s="27"/>
      <c r="CH177" s="27"/>
      <c r="CI177" s="27"/>
      <c r="CJ177" s="27"/>
      <c r="CK177" s="27"/>
    </row>
    <row r="178" ht="14.25" customHeight="1">
      <c r="A178" s="118"/>
      <c r="B178" s="118"/>
      <c r="C178" s="118"/>
      <c r="D178" s="119"/>
      <c r="E178" s="119"/>
      <c r="F178" s="118"/>
      <c r="G178" s="118"/>
      <c r="H178" s="118"/>
      <c r="I178" s="118"/>
      <c r="AF178" s="22"/>
      <c r="AG178" s="22"/>
      <c r="AH178" s="22"/>
      <c r="AI178" s="22"/>
      <c r="AJ178" s="22"/>
      <c r="AK178" s="23"/>
      <c r="AN178" s="24"/>
      <c r="AO178" s="24"/>
      <c r="AX178" s="25"/>
      <c r="BR178" s="25"/>
      <c r="CF178" s="27"/>
      <c r="CG178" s="27"/>
      <c r="CH178" s="27"/>
      <c r="CI178" s="27"/>
      <c r="CJ178" s="27"/>
      <c r="CK178" s="27"/>
    </row>
    <row r="179" ht="14.25" customHeight="1">
      <c r="A179" s="118"/>
      <c r="B179" s="118"/>
      <c r="C179" s="118"/>
      <c r="D179" s="119"/>
      <c r="E179" s="119"/>
      <c r="F179" s="118"/>
      <c r="G179" s="118"/>
      <c r="H179" s="118"/>
      <c r="I179" s="118"/>
      <c r="AF179" s="22"/>
      <c r="AG179" s="22"/>
      <c r="AH179" s="22"/>
      <c r="AI179" s="22"/>
      <c r="AJ179" s="22"/>
      <c r="AK179" s="23"/>
      <c r="AN179" s="24"/>
      <c r="AO179" s="24"/>
      <c r="AX179" s="25"/>
      <c r="BR179" s="25"/>
      <c r="CF179" s="27"/>
      <c r="CG179" s="27"/>
      <c r="CH179" s="27"/>
      <c r="CI179" s="27"/>
      <c r="CJ179" s="27"/>
      <c r="CK179" s="27"/>
    </row>
    <row r="180" ht="14.25" customHeight="1">
      <c r="A180" s="118"/>
      <c r="B180" s="118"/>
      <c r="C180" s="118"/>
      <c r="D180" s="119"/>
      <c r="E180" s="119"/>
      <c r="F180" s="118"/>
      <c r="G180" s="118"/>
      <c r="H180" s="118"/>
      <c r="I180" s="118"/>
      <c r="AF180" s="22"/>
      <c r="AG180" s="22"/>
      <c r="AH180" s="22"/>
      <c r="AI180" s="22"/>
      <c r="AJ180" s="22"/>
      <c r="AK180" s="23"/>
      <c r="AN180" s="24"/>
      <c r="AO180" s="24"/>
      <c r="AX180" s="25"/>
      <c r="BR180" s="25"/>
      <c r="CF180" s="27"/>
      <c r="CG180" s="27"/>
      <c r="CH180" s="27"/>
      <c r="CI180" s="27"/>
      <c r="CJ180" s="27"/>
      <c r="CK180" s="27"/>
    </row>
    <row r="181" ht="14.25" customHeight="1">
      <c r="A181" s="118"/>
      <c r="B181" s="118"/>
      <c r="C181" s="118"/>
      <c r="D181" s="119"/>
      <c r="E181" s="119"/>
      <c r="F181" s="118"/>
      <c r="G181" s="118"/>
      <c r="H181" s="118"/>
      <c r="I181" s="118"/>
      <c r="AF181" s="22"/>
      <c r="AG181" s="22"/>
      <c r="AH181" s="22"/>
      <c r="AI181" s="22"/>
      <c r="AJ181" s="22"/>
      <c r="AK181" s="23"/>
      <c r="AN181" s="24"/>
      <c r="AO181" s="24"/>
      <c r="AX181" s="25"/>
      <c r="BR181" s="25"/>
      <c r="CF181" s="27"/>
      <c r="CG181" s="27"/>
      <c r="CH181" s="27"/>
      <c r="CI181" s="27"/>
      <c r="CJ181" s="27"/>
      <c r="CK181" s="27"/>
    </row>
    <row r="182" ht="14.25" customHeight="1">
      <c r="A182" s="118"/>
      <c r="B182" s="118"/>
      <c r="C182" s="118"/>
      <c r="D182" s="119"/>
      <c r="E182" s="119"/>
      <c r="F182" s="118"/>
      <c r="G182" s="118"/>
      <c r="H182" s="118"/>
      <c r="I182" s="118"/>
      <c r="AF182" s="22"/>
      <c r="AG182" s="22"/>
      <c r="AH182" s="22"/>
      <c r="AI182" s="22"/>
      <c r="AJ182" s="22"/>
      <c r="AK182" s="23"/>
      <c r="AN182" s="24"/>
      <c r="AO182" s="24"/>
      <c r="AX182" s="25"/>
      <c r="BR182" s="25"/>
      <c r="CF182" s="27"/>
      <c r="CG182" s="27"/>
      <c r="CH182" s="27"/>
      <c r="CI182" s="27"/>
      <c r="CJ182" s="27"/>
      <c r="CK182" s="27"/>
    </row>
    <row r="183" ht="14.25" customHeight="1">
      <c r="A183" s="118"/>
      <c r="B183" s="118"/>
      <c r="C183" s="118"/>
      <c r="D183" s="119"/>
      <c r="E183" s="119"/>
      <c r="F183" s="118"/>
      <c r="G183" s="118"/>
      <c r="H183" s="118"/>
      <c r="I183" s="118"/>
      <c r="AF183" s="22"/>
      <c r="AG183" s="22"/>
      <c r="AH183" s="22"/>
      <c r="AI183" s="22"/>
      <c r="AJ183" s="22"/>
      <c r="AK183" s="23"/>
      <c r="AN183" s="24"/>
      <c r="AO183" s="24"/>
      <c r="AX183" s="25"/>
      <c r="BR183" s="25"/>
      <c r="CF183" s="27"/>
      <c r="CG183" s="27"/>
      <c r="CH183" s="27"/>
      <c r="CI183" s="27"/>
      <c r="CJ183" s="27"/>
      <c r="CK183" s="27"/>
    </row>
    <row r="184" ht="14.25" customHeight="1">
      <c r="A184" s="118"/>
      <c r="B184" s="118"/>
      <c r="C184" s="118"/>
      <c r="D184" s="119"/>
      <c r="E184" s="119"/>
      <c r="F184" s="118"/>
      <c r="G184" s="118"/>
      <c r="H184" s="118"/>
      <c r="I184" s="118"/>
      <c r="AF184" s="22"/>
      <c r="AG184" s="22"/>
      <c r="AH184" s="22"/>
      <c r="AI184" s="22"/>
      <c r="AJ184" s="22"/>
      <c r="AK184" s="23"/>
      <c r="AN184" s="24"/>
      <c r="AO184" s="24"/>
      <c r="AX184" s="25"/>
      <c r="BR184" s="25"/>
      <c r="CF184" s="27"/>
      <c r="CG184" s="27"/>
      <c r="CH184" s="27"/>
      <c r="CI184" s="27"/>
      <c r="CJ184" s="27"/>
      <c r="CK184" s="27"/>
    </row>
    <row r="185" ht="14.25" customHeight="1">
      <c r="A185" s="118"/>
      <c r="B185" s="118"/>
      <c r="C185" s="118"/>
      <c r="D185" s="119"/>
      <c r="E185" s="119"/>
      <c r="F185" s="118"/>
      <c r="G185" s="118"/>
      <c r="H185" s="118"/>
      <c r="I185" s="118"/>
      <c r="AF185" s="22"/>
      <c r="AG185" s="22"/>
      <c r="AH185" s="22"/>
      <c r="AI185" s="22"/>
      <c r="AJ185" s="22"/>
      <c r="AK185" s="23"/>
      <c r="AN185" s="24"/>
      <c r="AO185" s="24"/>
      <c r="AX185" s="25"/>
      <c r="BR185" s="25"/>
      <c r="CF185" s="27"/>
      <c r="CG185" s="27"/>
      <c r="CH185" s="27"/>
      <c r="CI185" s="27"/>
      <c r="CJ185" s="27"/>
      <c r="CK185" s="27"/>
    </row>
    <row r="186" ht="14.25" customHeight="1">
      <c r="A186" s="118"/>
      <c r="B186" s="118"/>
      <c r="C186" s="118"/>
      <c r="D186" s="119"/>
      <c r="E186" s="119"/>
      <c r="F186" s="118"/>
      <c r="G186" s="118"/>
      <c r="H186" s="118"/>
      <c r="I186" s="118"/>
      <c r="AF186" s="22"/>
      <c r="AG186" s="22"/>
      <c r="AH186" s="22"/>
      <c r="AI186" s="22"/>
      <c r="AJ186" s="22"/>
      <c r="AK186" s="23"/>
      <c r="AN186" s="24"/>
      <c r="AO186" s="24"/>
      <c r="AX186" s="25"/>
      <c r="BR186" s="25"/>
      <c r="CF186" s="27"/>
      <c r="CG186" s="27"/>
      <c r="CH186" s="27"/>
      <c r="CI186" s="27"/>
      <c r="CJ186" s="27"/>
      <c r="CK186" s="27"/>
    </row>
    <row r="187" ht="14.25" customHeight="1">
      <c r="A187" s="118"/>
      <c r="B187" s="118"/>
      <c r="C187" s="118"/>
      <c r="D187" s="119"/>
      <c r="E187" s="119"/>
      <c r="F187" s="118"/>
      <c r="G187" s="118"/>
      <c r="H187" s="118"/>
      <c r="I187" s="118"/>
      <c r="AF187" s="22"/>
      <c r="AG187" s="22"/>
      <c r="AH187" s="22"/>
      <c r="AI187" s="22"/>
      <c r="AJ187" s="22"/>
      <c r="AK187" s="23"/>
      <c r="AN187" s="24"/>
      <c r="AO187" s="24"/>
      <c r="AX187" s="25"/>
      <c r="BR187" s="25"/>
      <c r="CF187" s="27"/>
      <c r="CG187" s="27"/>
      <c r="CH187" s="27"/>
      <c r="CI187" s="27"/>
      <c r="CJ187" s="27"/>
      <c r="CK187" s="27"/>
    </row>
    <row r="188" ht="14.25" customHeight="1">
      <c r="A188" s="118"/>
      <c r="B188" s="118"/>
      <c r="C188" s="118"/>
      <c r="D188" s="119"/>
      <c r="E188" s="119"/>
      <c r="F188" s="118"/>
      <c r="G188" s="118"/>
      <c r="H188" s="118"/>
      <c r="I188" s="118"/>
      <c r="AF188" s="22"/>
      <c r="AG188" s="22"/>
      <c r="AH188" s="22"/>
      <c r="AI188" s="22"/>
      <c r="AJ188" s="22"/>
      <c r="AK188" s="23"/>
      <c r="AN188" s="24"/>
      <c r="AO188" s="24"/>
      <c r="AX188" s="25"/>
      <c r="BR188" s="25"/>
      <c r="CF188" s="27"/>
      <c r="CG188" s="27"/>
      <c r="CH188" s="27"/>
      <c r="CI188" s="27"/>
      <c r="CJ188" s="27"/>
      <c r="CK188" s="27"/>
    </row>
    <row r="189" ht="14.25" customHeight="1">
      <c r="A189" s="118"/>
      <c r="B189" s="118"/>
      <c r="C189" s="118"/>
      <c r="D189" s="119"/>
      <c r="E189" s="119"/>
      <c r="F189" s="118"/>
      <c r="G189" s="118"/>
      <c r="H189" s="118"/>
      <c r="I189" s="118"/>
      <c r="AF189" s="22"/>
      <c r="AG189" s="22"/>
      <c r="AH189" s="22"/>
      <c r="AI189" s="22"/>
      <c r="AJ189" s="22"/>
      <c r="AK189" s="23"/>
      <c r="AN189" s="24"/>
      <c r="AO189" s="24"/>
      <c r="AX189" s="25"/>
      <c r="BR189" s="25"/>
      <c r="CF189" s="27"/>
      <c r="CG189" s="27"/>
      <c r="CH189" s="27"/>
      <c r="CI189" s="27"/>
      <c r="CJ189" s="27"/>
      <c r="CK189" s="27"/>
    </row>
    <row r="190" ht="14.25" customHeight="1">
      <c r="A190" s="118"/>
      <c r="B190" s="118"/>
      <c r="C190" s="118"/>
      <c r="D190" s="119"/>
      <c r="E190" s="119"/>
      <c r="F190" s="118"/>
      <c r="G190" s="118"/>
      <c r="H190" s="118"/>
      <c r="I190" s="118"/>
      <c r="AF190" s="22"/>
      <c r="AG190" s="22"/>
      <c r="AH190" s="22"/>
      <c r="AI190" s="22"/>
      <c r="AJ190" s="22"/>
      <c r="AK190" s="23"/>
      <c r="AN190" s="24"/>
      <c r="AO190" s="24"/>
      <c r="AX190" s="25"/>
      <c r="BR190" s="25"/>
      <c r="CF190" s="27"/>
      <c r="CG190" s="27"/>
      <c r="CH190" s="27"/>
      <c r="CI190" s="27"/>
      <c r="CJ190" s="27"/>
      <c r="CK190" s="27"/>
    </row>
    <row r="191" ht="14.25" customHeight="1">
      <c r="A191" s="118"/>
      <c r="B191" s="118"/>
      <c r="C191" s="118"/>
      <c r="D191" s="119"/>
      <c r="E191" s="119"/>
      <c r="F191" s="118"/>
      <c r="G191" s="118"/>
      <c r="H191" s="118"/>
      <c r="I191" s="118"/>
      <c r="AF191" s="22"/>
      <c r="AG191" s="22"/>
      <c r="AH191" s="22"/>
      <c r="AI191" s="22"/>
      <c r="AJ191" s="22"/>
      <c r="AK191" s="23"/>
      <c r="AN191" s="24"/>
      <c r="AO191" s="24"/>
      <c r="AX191" s="25"/>
      <c r="BR191" s="25"/>
      <c r="CF191" s="27"/>
      <c r="CG191" s="27"/>
      <c r="CH191" s="27"/>
      <c r="CI191" s="27"/>
      <c r="CJ191" s="27"/>
      <c r="CK191" s="27"/>
    </row>
    <row r="192" ht="14.25" customHeight="1">
      <c r="A192" s="118"/>
      <c r="B192" s="118"/>
      <c r="C192" s="118"/>
      <c r="D192" s="119"/>
      <c r="E192" s="119"/>
      <c r="F192" s="118"/>
      <c r="G192" s="118"/>
      <c r="H192" s="118"/>
      <c r="I192" s="118"/>
      <c r="AF192" s="22"/>
      <c r="AG192" s="22"/>
      <c r="AH192" s="22"/>
      <c r="AI192" s="22"/>
      <c r="AJ192" s="22"/>
      <c r="AK192" s="23"/>
      <c r="AN192" s="24"/>
      <c r="AO192" s="24"/>
      <c r="AX192" s="25"/>
      <c r="BR192" s="25"/>
      <c r="CF192" s="27"/>
      <c r="CG192" s="27"/>
      <c r="CH192" s="27"/>
      <c r="CI192" s="27"/>
      <c r="CJ192" s="27"/>
      <c r="CK192" s="27"/>
    </row>
    <row r="193" ht="14.25" customHeight="1">
      <c r="A193" s="118"/>
      <c r="B193" s="118"/>
      <c r="C193" s="118"/>
      <c r="D193" s="119"/>
      <c r="E193" s="119"/>
      <c r="F193" s="118"/>
      <c r="G193" s="118"/>
      <c r="H193" s="118"/>
      <c r="I193" s="118"/>
      <c r="AF193" s="22"/>
      <c r="AG193" s="22"/>
      <c r="AH193" s="22"/>
      <c r="AI193" s="22"/>
      <c r="AJ193" s="22"/>
      <c r="AK193" s="23"/>
      <c r="AN193" s="24"/>
      <c r="AO193" s="24"/>
      <c r="AX193" s="25"/>
      <c r="BR193" s="25"/>
      <c r="CF193" s="27"/>
      <c r="CG193" s="27"/>
      <c r="CH193" s="27"/>
      <c r="CI193" s="27"/>
      <c r="CJ193" s="27"/>
      <c r="CK193" s="27"/>
    </row>
    <row r="194" ht="14.25" customHeight="1">
      <c r="A194" s="118"/>
      <c r="B194" s="118"/>
      <c r="C194" s="118"/>
      <c r="D194" s="119"/>
      <c r="E194" s="119"/>
      <c r="F194" s="118"/>
      <c r="G194" s="118"/>
      <c r="H194" s="118"/>
      <c r="I194" s="118"/>
      <c r="AF194" s="22"/>
      <c r="AG194" s="22"/>
      <c r="AH194" s="22"/>
      <c r="AI194" s="22"/>
      <c r="AJ194" s="22"/>
      <c r="AK194" s="23"/>
      <c r="AN194" s="24"/>
      <c r="AO194" s="24"/>
      <c r="AX194" s="25"/>
      <c r="BR194" s="25"/>
      <c r="CF194" s="27"/>
      <c r="CG194" s="27"/>
      <c r="CH194" s="27"/>
      <c r="CI194" s="27"/>
      <c r="CJ194" s="27"/>
      <c r="CK194" s="27"/>
    </row>
    <row r="195" ht="14.25" customHeight="1">
      <c r="A195" s="118"/>
      <c r="B195" s="118"/>
      <c r="C195" s="118"/>
      <c r="D195" s="119"/>
      <c r="E195" s="119"/>
      <c r="F195" s="118"/>
      <c r="G195" s="118"/>
      <c r="H195" s="118"/>
      <c r="I195" s="118"/>
      <c r="AF195" s="22"/>
      <c r="AG195" s="22"/>
      <c r="AH195" s="22"/>
      <c r="AI195" s="22"/>
      <c r="AJ195" s="22"/>
      <c r="AK195" s="23"/>
      <c r="AN195" s="24"/>
      <c r="AO195" s="24"/>
      <c r="AX195" s="25"/>
      <c r="BR195" s="25"/>
      <c r="CF195" s="27"/>
      <c r="CG195" s="27"/>
      <c r="CH195" s="27"/>
      <c r="CI195" s="27"/>
      <c r="CJ195" s="27"/>
      <c r="CK195" s="27"/>
    </row>
    <row r="196" ht="14.25" customHeight="1">
      <c r="A196" s="118"/>
      <c r="B196" s="118"/>
      <c r="C196" s="118"/>
      <c r="D196" s="119"/>
      <c r="E196" s="119"/>
      <c r="F196" s="118"/>
      <c r="G196" s="118"/>
      <c r="H196" s="118"/>
      <c r="I196" s="118"/>
      <c r="AF196" s="22"/>
      <c r="AG196" s="22"/>
      <c r="AH196" s="22"/>
      <c r="AI196" s="22"/>
      <c r="AJ196" s="22"/>
      <c r="AK196" s="23"/>
      <c r="AN196" s="24"/>
      <c r="AO196" s="24"/>
      <c r="AX196" s="25"/>
      <c r="BR196" s="25"/>
      <c r="CF196" s="27"/>
      <c r="CG196" s="27"/>
      <c r="CH196" s="27"/>
      <c r="CI196" s="27"/>
      <c r="CJ196" s="27"/>
      <c r="CK196" s="27"/>
    </row>
    <row r="197" ht="14.25" customHeight="1">
      <c r="A197" s="118"/>
      <c r="B197" s="118"/>
      <c r="C197" s="118"/>
      <c r="D197" s="119"/>
      <c r="E197" s="119"/>
      <c r="F197" s="118"/>
      <c r="G197" s="118"/>
      <c r="H197" s="118"/>
      <c r="I197" s="118"/>
      <c r="AF197" s="22"/>
      <c r="AG197" s="22"/>
      <c r="AH197" s="22"/>
      <c r="AI197" s="22"/>
      <c r="AJ197" s="22"/>
      <c r="AK197" s="23"/>
      <c r="AN197" s="24"/>
      <c r="AO197" s="24"/>
      <c r="AX197" s="25"/>
      <c r="BR197" s="25"/>
      <c r="CF197" s="27"/>
      <c r="CG197" s="27"/>
      <c r="CH197" s="27"/>
      <c r="CI197" s="27"/>
      <c r="CJ197" s="27"/>
      <c r="CK197" s="27"/>
    </row>
    <row r="198" ht="14.25" customHeight="1">
      <c r="A198" s="118"/>
      <c r="B198" s="118"/>
      <c r="C198" s="118"/>
      <c r="D198" s="119"/>
      <c r="E198" s="119"/>
      <c r="F198" s="118"/>
      <c r="G198" s="118"/>
      <c r="H198" s="118"/>
      <c r="I198" s="118"/>
      <c r="AF198" s="22"/>
      <c r="AG198" s="22"/>
      <c r="AH198" s="22"/>
      <c r="AI198" s="22"/>
      <c r="AJ198" s="22"/>
      <c r="AK198" s="23"/>
      <c r="AN198" s="24"/>
      <c r="AO198" s="24"/>
      <c r="AX198" s="25"/>
      <c r="BR198" s="25"/>
      <c r="CF198" s="27"/>
      <c r="CG198" s="27"/>
      <c r="CH198" s="27"/>
      <c r="CI198" s="27"/>
      <c r="CJ198" s="27"/>
      <c r="CK198" s="27"/>
    </row>
    <row r="199" ht="14.25" customHeight="1">
      <c r="A199" s="118"/>
      <c r="B199" s="118"/>
      <c r="C199" s="118"/>
      <c r="D199" s="119"/>
      <c r="E199" s="119"/>
      <c r="F199" s="118"/>
      <c r="G199" s="118"/>
      <c r="H199" s="118"/>
      <c r="I199" s="118"/>
      <c r="AF199" s="22"/>
      <c r="AG199" s="22"/>
      <c r="AH199" s="22"/>
      <c r="AI199" s="22"/>
      <c r="AJ199" s="22"/>
      <c r="AK199" s="23"/>
      <c r="AN199" s="24"/>
      <c r="AO199" s="24"/>
      <c r="AX199" s="25"/>
      <c r="BR199" s="25"/>
      <c r="CF199" s="27"/>
      <c r="CG199" s="27"/>
      <c r="CH199" s="27"/>
      <c r="CI199" s="27"/>
      <c r="CJ199" s="27"/>
      <c r="CK199" s="27"/>
    </row>
    <row r="200" ht="14.25" customHeight="1">
      <c r="A200" s="118"/>
      <c r="B200" s="118"/>
      <c r="C200" s="118"/>
      <c r="D200" s="119"/>
      <c r="E200" s="119"/>
      <c r="F200" s="118"/>
      <c r="G200" s="118"/>
      <c r="H200" s="118"/>
      <c r="I200" s="118"/>
      <c r="AF200" s="22"/>
      <c r="AG200" s="22"/>
      <c r="AH200" s="22"/>
      <c r="AI200" s="22"/>
      <c r="AJ200" s="22"/>
      <c r="AK200" s="23"/>
      <c r="AN200" s="24"/>
      <c r="AO200" s="24"/>
      <c r="AX200" s="25"/>
      <c r="BR200" s="25"/>
      <c r="CF200" s="27"/>
      <c r="CG200" s="27"/>
      <c r="CH200" s="27"/>
      <c r="CI200" s="27"/>
      <c r="CJ200" s="27"/>
      <c r="CK200" s="27"/>
    </row>
    <row r="201" ht="14.25" customHeight="1">
      <c r="A201" s="118"/>
      <c r="B201" s="118"/>
      <c r="C201" s="118"/>
      <c r="D201" s="119"/>
      <c r="E201" s="119"/>
      <c r="F201" s="118"/>
      <c r="G201" s="118"/>
      <c r="H201" s="118"/>
      <c r="I201" s="118"/>
      <c r="AF201" s="22"/>
      <c r="AG201" s="22"/>
      <c r="AH201" s="22"/>
      <c r="AI201" s="22"/>
      <c r="AJ201" s="22"/>
      <c r="AK201" s="23"/>
      <c r="AN201" s="24"/>
      <c r="AO201" s="24"/>
      <c r="AX201" s="25"/>
      <c r="BR201" s="25"/>
      <c r="CF201" s="27"/>
      <c r="CG201" s="27"/>
      <c r="CH201" s="27"/>
      <c r="CI201" s="27"/>
      <c r="CJ201" s="27"/>
      <c r="CK201" s="27"/>
    </row>
    <row r="202" ht="14.25" customHeight="1">
      <c r="A202" s="118"/>
      <c r="B202" s="118"/>
      <c r="C202" s="118"/>
      <c r="D202" s="119"/>
      <c r="E202" s="119"/>
      <c r="F202" s="118"/>
      <c r="G202" s="118"/>
      <c r="H202" s="118"/>
      <c r="I202" s="118"/>
      <c r="AF202" s="22"/>
      <c r="AG202" s="22"/>
      <c r="AH202" s="22"/>
      <c r="AI202" s="22"/>
      <c r="AJ202" s="22"/>
      <c r="AK202" s="23"/>
      <c r="AN202" s="24"/>
      <c r="AO202" s="24"/>
      <c r="AX202" s="25"/>
      <c r="BR202" s="25"/>
      <c r="CF202" s="27"/>
      <c r="CG202" s="27"/>
      <c r="CH202" s="27"/>
      <c r="CI202" s="27"/>
      <c r="CJ202" s="27"/>
      <c r="CK202" s="27"/>
    </row>
    <row r="203" ht="14.25" customHeight="1">
      <c r="A203" s="118"/>
      <c r="B203" s="118"/>
      <c r="C203" s="118"/>
      <c r="D203" s="119"/>
      <c r="E203" s="119"/>
      <c r="F203" s="118"/>
      <c r="G203" s="118"/>
      <c r="H203" s="118"/>
      <c r="I203" s="118"/>
      <c r="AF203" s="22"/>
      <c r="AG203" s="22"/>
      <c r="AH203" s="22"/>
      <c r="AI203" s="22"/>
      <c r="AJ203" s="22"/>
      <c r="AK203" s="23"/>
      <c r="AN203" s="24"/>
      <c r="AO203" s="24"/>
      <c r="AX203" s="25"/>
      <c r="BR203" s="25"/>
      <c r="CF203" s="27"/>
      <c r="CG203" s="27"/>
      <c r="CH203" s="27"/>
      <c r="CI203" s="27"/>
      <c r="CJ203" s="27"/>
      <c r="CK203" s="27"/>
    </row>
    <row r="204" ht="14.25" customHeight="1">
      <c r="A204" s="118"/>
      <c r="B204" s="118"/>
      <c r="C204" s="118"/>
      <c r="D204" s="119"/>
      <c r="E204" s="119"/>
      <c r="F204" s="118"/>
      <c r="G204" s="118"/>
      <c r="H204" s="118"/>
      <c r="I204" s="118"/>
      <c r="AF204" s="22"/>
      <c r="AG204" s="22"/>
      <c r="AH204" s="22"/>
      <c r="AI204" s="22"/>
      <c r="AJ204" s="22"/>
      <c r="AK204" s="23"/>
      <c r="AN204" s="24"/>
      <c r="AO204" s="24"/>
      <c r="AX204" s="25"/>
      <c r="BR204" s="25"/>
      <c r="CF204" s="27"/>
      <c r="CG204" s="27"/>
      <c r="CH204" s="27"/>
      <c r="CI204" s="27"/>
      <c r="CJ204" s="27"/>
      <c r="CK204" s="27"/>
    </row>
    <row r="205" ht="14.25" customHeight="1">
      <c r="A205" s="118"/>
      <c r="B205" s="118"/>
      <c r="C205" s="118"/>
      <c r="D205" s="119"/>
      <c r="E205" s="119"/>
      <c r="F205" s="118"/>
      <c r="G205" s="118"/>
      <c r="H205" s="118"/>
      <c r="I205" s="118"/>
      <c r="AF205" s="22"/>
      <c r="AG205" s="22"/>
      <c r="AH205" s="22"/>
      <c r="AI205" s="22"/>
      <c r="AJ205" s="22"/>
      <c r="AK205" s="23"/>
      <c r="AN205" s="24"/>
      <c r="AO205" s="24"/>
      <c r="AX205" s="25"/>
      <c r="BR205" s="25"/>
      <c r="CF205" s="27"/>
      <c r="CG205" s="27"/>
      <c r="CH205" s="27"/>
      <c r="CI205" s="27"/>
      <c r="CJ205" s="27"/>
      <c r="CK205" s="27"/>
    </row>
    <row r="206" ht="14.25" customHeight="1">
      <c r="A206" s="118"/>
      <c r="B206" s="118"/>
      <c r="C206" s="118"/>
      <c r="D206" s="119"/>
      <c r="E206" s="119"/>
      <c r="F206" s="118"/>
      <c r="G206" s="118"/>
      <c r="H206" s="118"/>
      <c r="I206" s="118"/>
      <c r="AF206" s="22"/>
      <c r="AG206" s="22"/>
      <c r="AH206" s="22"/>
      <c r="AI206" s="22"/>
      <c r="AJ206" s="22"/>
      <c r="AK206" s="23"/>
      <c r="AN206" s="24"/>
      <c r="AO206" s="24"/>
      <c r="AX206" s="25"/>
      <c r="BR206" s="25"/>
      <c r="CF206" s="27"/>
      <c r="CG206" s="27"/>
      <c r="CH206" s="27"/>
      <c r="CI206" s="27"/>
      <c r="CJ206" s="27"/>
      <c r="CK206" s="27"/>
    </row>
    <row r="207" ht="14.25" customHeight="1">
      <c r="A207" s="118"/>
      <c r="B207" s="118"/>
      <c r="C207" s="118"/>
      <c r="D207" s="119"/>
      <c r="E207" s="119"/>
      <c r="F207" s="118"/>
      <c r="G207" s="118"/>
      <c r="H207" s="118"/>
      <c r="I207" s="118"/>
      <c r="AF207" s="22"/>
      <c r="AG207" s="22"/>
      <c r="AH207" s="22"/>
      <c r="AI207" s="22"/>
      <c r="AJ207" s="22"/>
      <c r="AK207" s="23"/>
      <c r="AN207" s="24"/>
      <c r="AO207" s="24"/>
      <c r="AX207" s="25"/>
      <c r="BR207" s="25"/>
      <c r="CF207" s="27"/>
      <c r="CG207" s="27"/>
      <c r="CH207" s="27"/>
      <c r="CI207" s="27"/>
      <c r="CJ207" s="27"/>
      <c r="CK207" s="27"/>
    </row>
    <row r="208" ht="14.25" customHeight="1">
      <c r="A208" s="118"/>
      <c r="B208" s="118"/>
      <c r="C208" s="118"/>
      <c r="D208" s="119"/>
      <c r="E208" s="119"/>
      <c r="F208" s="118"/>
      <c r="G208" s="118"/>
      <c r="H208" s="118"/>
      <c r="I208" s="118"/>
      <c r="AF208" s="22"/>
      <c r="AG208" s="22"/>
      <c r="AH208" s="22"/>
      <c r="AI208" s="22"/>
      <c r="AJ208" s="22"/>
      <c r="AK208" s="23"/>
      <c r="AN208" s="24"/>
      <c r="AO208" s="24"/>
      <c r="AX208" s="25"/>
      <c r="BR208" s="25"/>
      <c r="CF208" s="27"/>
      <c r="CG208" s="27"/>
      <c r="CH208" s="27"/>
      <c r="CI208" s="27"/>
      <c r="CJ208" s="27"/>
      <c r="CK208" s="27"/>
    </row>
    <row r="209" ht="14.25" customHeight="1">
      <c r="A209" s="118"/>
      <c r="B209" s="118"/>
      <c r="C209" s="118"/>
      <c r="D209" s="119"/>
      <c r="E209" s="119"/>
      <c r="F209" s="118"/>
      <c r="G209" s="118"/>
      <c r="H209" s="118"/>
      <c r="I209" s="118"/>
      <c r="AF209" s="22"/>
      <c r="AG209" s="22"/>
      <c r="AH209" s="22"/>
      <c r="AI209" s="22"/>
      <c r="AJ209" s="22"/>
      <c r="AK209" s="23"/>
      <c r="AN209" s="24"/>
      <c r="AO209" s="24"/>
      <c r="AX209" s="25"/>
      <c r="BR209" s="25"/>
      <c r="CF209" s="27"/>
      <c r="CG209" s="27"/>
      <c r="CH209" s="27"/>
      <c r="CI209" s="27"/>
      <c r="CJ209" s="27"/>
      <c r="CK209" s="27"/>
    </row>
    <row r="210" ht="14.25" customHeight="1">
      <c r="A210" s="118"/>
      <c r="B210" s="118"/>
      <c r="C210" s="118"/>
      <c r="D210" s="119"/>
      <c r="E210" s="119"/>
      <c r="F210" s="118"/>
      <c r="G210" s="118"/>
      <c r="H210" s="118"/>
      <c r="I210" s="118"/>
      <c r="AF210" s="22"/>
      <c r="AG210" s="22"/>
      <c r="AH210" s="22"/>
      <c r="AI210" s="22"/>
      <c r="AJ210" s="22"/>
      <c r="AK210" s="23"/>
      <c r="AN210" s="24"/>
      <c r="AO210" s="24"/>
      <c r="AX210" s="25"/>
      <c r="BR210" s="25"/>
      <c r="CF210" s="27"/>
      <c r="CG210" s="27"/>
      <c r="CH210" s="27"/>
      <c r="CI210" s="27"/>
      <c r="CJ210" s="27"/>
      <c r="CK210" s="27"/>
    </row>
    <row r="211" ht="14.25" customHeight="1">
      <c r="A211" s="118"/>
      <c r="B211" s="118"/>
      <c r="C211" s="118"/>
      <c r="D211" s="119"/>
      <c r="E211" s="119"/>
      <c r="F211" s="118"/>
      <c r="G211" s="118"/>
      <c r="H211" s="118"/>
      <c r="I211" s="118"/>
      <c r="AF211" s="22"/>
      <c r="AG211" s="22"/>
      <c r="AH211" s="22"/>
      <c r="AI211" s="22"/>
      <c r="AJ211" s="22"/>
      <c r="AK211" s="23"/>
      <c r="AN211" s="24"/>
      <c r="AO211" s="24"/>
      <c r="AX211" s="25"/>
      <c r="BR211" s="25"/>
      <c r="CF211" s="27"/>
      <c r="CG211" s="27"/>
      <c r="CH211" s="27"/>
      <c r="CI211" s="27"/>
      <c r="CJ211" s="27"/>
      <c r="CK211" s="27"/>
    </row>
    <row r="212" ht="14.25" customHeight="1">
      <c r="A212" s="118"/>
      <c r="B212" s="118"/>
      <c r="C212" s="118"/>
      <c r="D212" s="119"/>
      <c r="E212" s="119"/>
      <c r="F212" s="118"/>
      <c r="G212" s="118"/>
      <c r="H212" s="118"/>
      <c r="I212" s="118"/>
      <c r="AF212" s="22"/>
      <c r="AG212" s="22"/>
      <c r="AH212" s="22"/>
      <c r="AI212" s="22"/>
      <c r="AJ212" s="22"/>
      <c r="AK212" s="23"/>
      <c r="AN212" s="24"/>
      <c r="AO212" s="24"/>
      <c r="AX212" s="25"/>
      <c r="BR212" s="25"/>
      <c r="CF212" s="27"/>
      <c r="CG212" s="27"/>
      <c r="CH212" s="27"/>
      <c r="CI212" s="27"/>
      <c r="CJ212" s="27"/>
      <c r="CK212" s="27"/>
    </row>
    <row r="213" ht="14.25" customHeight="1">
      <c r="A213" s="118"/>
      <c r="B213" s="118"/>
      <c r="C213" s="118"/>
      <c r="D213" s="119"/>
      <c r="E213" s="119"/>
      <c r="F213" s="118"/>
      <c r="G213" s="118"/>
      <c r="H213" s="118"/>
      <c r="I213" s="118"/>
      <c r="AF213" s="22"/>
      <c r="AG213" s="22"/>
      <c r="AH213" s="22"/>
      <c r="AI213" s="22"/>
      <c r="AJ213" s="22"/>
      <c r="AK213" s="23"/>
      <c r="AN213" s="24"/>
      <c r="AO213" s="24"/>
      <c r="AX213" s="25"/>
      <c r="BR213" s="25"/>
      <c r="CF213" s="27"/>
      <c r="CG213" s="27"/>
      <c r="CH213" s="27"/>
      <c r="CI213" s="27"/>
      <c r="CJ213" s="27"/>
      <c r="CK213" s="27"/>
    </row>
    <row r="214" ht="14.25" customHeight="1">
      <c r="A214" s="118"/>
      <c r="B214" s="118"/>
      <c r="C214" s="118"/>
      <c r="D214" s="119"/>
      <c r="E214" s="119"/>
      <c r="F214" s="118"/>
      <c r="G214" s="118"/>
      <c r="H214" s="118"/>
      <c r="I214" s="118"/>
      <c r="AF214" s="22"/>
      <c r="AG214" s="22"/>
      <c r="AH214" s="22"/>
      <c r="AI214" s="22"/>
      <c r="AJ214" s="22"/>
      <c r="AK214" s="23"/>
      <c r="AN214" s="24"/>
      <c r="AO214" s="24"/>
      <c r="AX214" s="25"/>
      <c r="BR214" s="25"/>
      <c r="CF214" s="27"/>
      <c r="CG214" s="27"/>
      <c r="CH214" s="27"/>
      <c r="CI214" s="27"/>
      <c r="CJ214" s="27"/>
      <c r="CK214" s="27"/>
    </row>
    <row r="215" ht="14.25" customHeight="1">
      <c r="A215" s="118"/>
      <c r="B215" s="118"/>
      <c r="C215" s="118"/>
      <c r="D215" s="119"/>
      <c r="E215" s="119"/>
      <c r="F215" s="118"/>
      <c r="G215" s="118"/>
      <c r="H215" s="118"/>
      <c r="I215" s="118"/>
      <c r="AF215" s="22"/>
      <c r="AG215" s="22"/>
      <c r="AH215" s="22"/>
      <c r="AI215" s="22"/>
      <c r="AJ215" s="22"/>
      <c r="AK215" s="23"/>
      <c r="AN215" s="24"/>
      <c r="AO215" s="24"/>
      <c r="AX215" s="25"/>
      <c r="BR215" s="25"/>
      <c r="CF215" s="27"/>
      <c r="CG215" s="27"/>
      <c r="CH215" s="27"/>
      <c r="CI215" s="27"/>
      <c r="CJ215" s="27"/>
      <c r="CK215" s="27"/>
    </row>
    <row r="216" ht="14.25" customHeight="1">
      <c r="A216" s="118"/>
      <c r="B216" s="118"/>
      <c r="C216" s="118"/>
      <c r="D216" s="119"/>
      <c r="E216" s="119"/>
      <c r="F216" s="118"/>
      <c r="G216" s="118"/>
      <c r="H216" s="118"/>
      <c r="I216" s="118"/>
      <c r="AF216" s="22"/>
      <c r="AG216" s="22"/>
      <c r="AH216" s="22"/>
      <c r="AI216" s="22"/>
      <c r="AJ216" s="22"/>
      <c r="AK216" s="23"/>
      <c r="AN216" s="24"/>
      <c r="AO216" s="24"/>
      <c r="AX216" s="25"/>
      <c r="BR216" s="25"/>
      <c r="CF216" s="27"/>
      <c r="CG216" s="27"/>
      <c r="CH216" s="27"/>
      <c r="CI216" s="27"/>
      <c r="CJ216" s="27"/>
      <c r="CK216" s="27"/>
    </row>
    <row r="217" ht="14.25" customHeight="1">
      <c r="A217" s="118"/>
      <c r="B217" s="118"/>
      <c r="C217" s="118"/>
      <c r="D217" s="119"/>
      <c r="E217" s="119"/>
      <c r="F217" s="118"/>
      <c r="G217" s="118"/>
      <c r="H217" s="118"/>
      <c r="I217" s="118"/>
      <c r="AF217" s="22"/>
      <c r="AG217" s="22"/>
      <c r="AH217" s="22"/>
      <c r="AI217" s="22"/>
      <c r="AJ217" s="22"/>
      <c r="AK217" s="23"/>
      <c r="AN217" s="24"/>
      <c r="AO217" s="24"/>
      <c r="AX217" s="25"/>
      <c r="BR217" s="25"/>
      <c r="CF217" s="27"/>
      <c r="CG217" s="27"/>
      <c r="CH217" s="27"/>
      <c r="CI217" s="27"/>
      <c r="CJ217" s="27"/>
      <c r="CK217" s="27"/>
    </row>
    <row r="218" ht="14.25" customHeight="1">
      <c r="A218" s="118"/>
      <c r="B218" s="118"/>
      <c r="C218" s="118"/>
      <c r="D218" s="119"/>
      <c r="E218" s="119"/>
      <c r="F218" s="118"/>
      <c r="G218" s="118"/>
      <c r="H218" s="118"/>
      <c r="I218" s="118"/>
      <c r="AF218" s="22"/>
      <c r="AG218" s="22"/>
      <c r="AH218" s="22"/>
      <c r="AI218" s="22"/>
      <c r="AJ218" s="22"/>
      <c r="AK218" s="23"/>
      <c r="AN218" s="24"/>
      <c r="AO218" s="24"/>
      <c r="AX218" s="25"/>
      <c r="BR218" s="25"/>
      <c r="CF218" s="27"/>
      <c r="CG218" s="27"/>
      <c r="CH218" s="27"/>
      <c r="CI218" s="27"/>
      <c r="CJ218" s="27"/>
      <c r="CK218" s="27"/>
    </row>
    <row r="219" ht="14.25" customHeight="1">
      <c r="A219" s="118"/>
      <c r="B219" s="118"/>
      <c r="C219" s="118"/>
      <c r="D219" s="119"/>
      <c r="E219" s="119"/>
      <c r="F219" s="118"/>
      <c r="G219" s="118"/>
      <c r="H219" s="118"/>
      <c r="I219" s="118"/>
      <c r="AF219" s="22"/>
      <c r="AG219" s="22"/>
      <c r="AH219" s="22"/>
      <c r="AI219" s="22"/>
      <c r="AJ219" s="22"/>
      <c r="AK219" s="23"/>
      <c r="AN219" s="24"/>
      <c r="AO219" s="24"/>
      <c r="AX219" s="25"/>
      <c r="BR219" s="25"/>
      <c r="CF219" s="27"/>
      <c r="CG219" s="27"/>
      <c r="CH219" s="27"/>
      <c r="CI219" s="27"/>
      <c r="CJ219" s="27"/>
      <c r="CK219" s="27"/>
    </row>
    <row r="220" ht="14.25" customHeight="1">
      <c r="A220" s="118"/>
      <c r="B220" s="118"/>
      <c r="C220" s="118"/>
      <c r="D220" s="119"/>
      <c r="E220" s="119"/>
      <c r="F220" s="118"/>
      <c r="G220" s="118"/>
      <c r="H220" s="118"/>
      <c r="I220" s="118"/>
      <c r="AF220" s="22"/>
      <c r="AG220" s="22"/>
      <c r="AH220" s="22"/>
      <c r="AI220" s="22"/>
      <c r="AJ220" s="22"/>
      <c r="AK220" s="23"/>
      <c r="AN220" s="24"/>
      <c r="AO220" s="24"/>
      <c r="AX220" s="25"/>
      <c r="BR220" s="25"/>
      <c r="CF220" s="27"/>
      <c r="CG220" s="27"/>
      <c r="CH220" s="27"/>
      <c r="CI220" s="27"/>
      <c r="CJ220" s="27"/>
      <c r="CK220" s="27"/>
    </row>
    <row r="221" ht="14.25" customHeight="1">
      <c r="A221" s="118"/>
      <c r="B221" s="118"/>
      <c r="C221" s="118"/>
      <c r="D221" s="119"/>
      <c r="E221" s="119"/>
      <c r="F221" s="118"/>
      <c r="G221" s="118"/>
      <c r="H221" s="118"/>
      <c r="I221" s="118"/>
      <c r="AF221" s="22"/>
      <c r="AG221" s="22"/>
      <c r="AH221" s="22"/>
      <c r="AI221" s="22"/>
      <c r="AJ221" s="22"/>
      <c r="AK221" s="23"/>
      <c r="AN221" s="24"/>
      <c r="AO221" s="24"/>
      <c r="AX221" s="25"/>
      <c r="BR221" s="25"/>
      <c r="CF221" s="27"/>
      <c r="CG221" s="27"/>
      <c r="CH221" s="27"/>
      <c r="CI221" s="27"/>
      <c r="CJ221" s="27"/>
      <c r="CK221" s="27"/>
    </row>
    <row r="222" ht="14.25" customHeight="1">
      <c r="A222" s="118"/>
      <c r="B222" s="118"/>
      <c r="C222" s="118"/>
      <c r="D222" s="119"/>
      <c r="E222" s="119"/>
      <c r="F222" s="118"/>
      <c r="G222" s="118"/>
      <c r="H222" s="118"/>
      <c r="I222" s="118"/>
      <c r="AF222" s="22"/>
      <c r="AG222" s="22"/>
      <c r="AH222" s="22"/>
      <c r="AI222" s="22"/>
      <c r="AJ222" s="22"/>
      <c r="AK222" s="23"/>
      <c r="AN222" s="24"/>
      <c r="AO222" s="24"/>
      <c r="AX222" s="25"/>
      <c r="BR222" s="25"/>
      <c r="CF222" s="27"/>
      <c r="CG222" s="27"/>
      <c r="CH222" s="27"/>
      <c r="CI222" s="27"/>
      <c r="CJ222" s="27"/>
      <c r="CK222" s="27"/>
    </row>
    <row r="223" ht="14.25" customHeight="1">
      <c r="A223" s="118"/>
      <c r="B223" s="118"/>
      <c r="C223" s="118"/>
      <c r="D223" s="119"/>
      <c r="E223" s="119"/>
      <c r="F223" s="118"/>
      <c r="G223" s="118"/>
      <c r="H223" s="118"/>
      <c r="I223" s="118"/>
      <c r="AF223" s="22"/>
      <c r="AG223" s="22"/>
      <c r="AH223" s="22"/>
      <c r="AI223" s="22"/>
      <c r="AJ223" s="22"/>
      <c r="AK223" s="23"/>
      <c r="AN223" s="24"/>
      <c r="AO223" s="24"/>
      <c r="AX223" s="25"/>
      <c r="BR223" s="25"/>
      <c r="CF223" s="27"/>
      <c r="CG223" s="27"/>
      <c r="CH223" s="27"/>
      <c r="CI223" s="27"/>
      <c r="CJ223" s="27"/>
      <c r="CK223" s="27"/>
    </row>
    <row r="224" ht="14.25" customHeight="1">
      <c r="A224" s="118"/>
      <c r="B224" s="118"/>
      <c r="C224" s="118"/>
      <c r="D224" s="119"/>
      <c r="E224" s="119"/>
      <c r="F224" s="118"/>
      <c r="G224" s="118"/>
      <c r="H224" s="118"/>
      <c r="I224" s="118"/>
      <c r="AF224" s="22"/>
      <c r="AG224" s="22"/>
      <c r="AH224" s="22"/>
      <c r="AI224" s="22"/>
      <c r="AJ224" s="22"/>
      <c r="AK224" s="23"/>
      <c r="AN224" s="24"/>
      <c r="AO224" s="24"/>
      <c r="AX224" s="25"/>
      <c r="BR224" s="25"/>
      <c r="CF224" s="27"/>
      <c r="CG224" s="27"/>
      <c r="CH224" s="27"/>
      <c r="CI224" s="27"/>
      <c r="CJ224" s="27"/>
      <c r="CK224" s="27"/>
    </row>
    <row r="225" ht="14.25" customHeight="1">
      <c r="A225" s="118"/>
      <c r="B225" s="118"/>
      <c r="C225" s="118"/>
      <c r="D225" s="119"/>
      <c r="E225" s="119"/>
      <c r="F225" s="118"/>
      <c r="G225" s="118"/>
      <c r="H225" s="118"/>
      <c r="I225" s="118"/>
      <c r="AF225" s="22"/>
      <c r="AG225" s="22"/>
      <c r="AH225" s="22"/>
      <c r="AI225" s="22"/>
      <c r="AJ225" s="22"/>
      <c r="AK225" s="23"/>
      <c r="AN225" s="24"/>
      <c r="AO225" s="24"/>
      <c r="AX225" s="25"/>
      <c r="BR225" s="25"/>
      <c r="CF225" s="27"/>
      <c r="CG225" s="27"/>
      <c r="CH225" s="27"/>
      <c r="CI225" s="27"/>
      <c r="CJ225" s="27"/>
      <c r="CK225" s="27"/>
    </row>
    <row r="226" ht="14.25" customHeight="1">
      <c r="A226" s="118"/>
      <c r="B226" s="118"/>
      <c r="C226" s="118"/>
      <c r="D226" s="119"/>
      <c r="E226" s="119"/>
      <c r="F226" s="118"/>
      <c r="G226" s="118"/>
      <c r="H226" s="118"/>
      <c r="I226" s="118"/>
      <c r="AF226" s="22"/>
      <c r="AG226" s="22"/>
      <c r="AH226" s="22"/>
      <c r="AI226" s="22"/>
      <c r="AJ226" s="22"/>
      <c r="AK226" s="23"/>
      <c r="AN226" s="24"/>
      <c r="AO226" s="24"/>
      <c r="AX226" s="25"/>
      <c r="BR226" s="25"/>
      <c r="CF226" s="27"/>
      <c r="CG226" s="27"/>
      <c r="CH226" s="27"/>
      <c r="CI226" s="27"/>
      <c r="CJ226" s="27"/>
      <c r="CK226" s="27"/>
    </row>
    <row r="227" ht="14.25" customHeight="1">
      <c r="A227" s="118"/>
      <c r="B227" s="118"/>
      <c r="C227" s="118"/>
      <c r="D227" s="119"/>
      <c r="E227" s="119"/>
      <c r="F227" s="118"/>
      <c r="G227" s="118"/>
      <c r="H227" s="118"/>
      <c r="I227" s="118"/>
      <c r="AF227" s="22"/>
      <c r="AG227" s="22"/>
      <c r="AH227" s="22"/>
      <c r="AI227" s="22"/>
      <c r="AJ227" s="22"/>
      <c r="AK227" s="23"/>
      <c r="AN227" s="24"/>
      <c r="AO227" s="24"/>
      <c r="AX227" s="25"/>
      <c r="BR227" s="25"/>
      <c r="CF227" s="27"/>
      <c r="CG227" s="27"/>
      <c r="CH227" s="27"/>
      <c r="CI227" s="27"/>
      <c r="CJ227" s="27"/>
      <c r="CK227" s="27"/>
    </row>
    <row r="228" ht="14.25" customHeight="1">
      <c r="A228" s="118"/>
      <c r="B228" s="118"/>
      <c r="C228" s="118"/>
      <c r="D228" s="119"/>
      <c r="E228" s="119"/>
      <c r="F228" s="118"/>
      <c r="G228" s="118"/>
      <c r="H228" s="118"/>
      <c r="I228" s="118"/>
      <c r="AF228" s="22"/>
      <c r="AG228" s="22"/>
      <c r="AH228" s="22"/>
      <c r="AI228" s="22"/>
      <c r="AJ228" s="22"/>
      <c r="AK228" s="23"/>
      <c r="AN228" s="24"/>
      <c r="AO228" s="24"/>
      <c r="AX228" s="25"/>
      <c r="BR228" s="25"/>
      <c r="CF228" s="27"/>
      <c r="CG228" s="27"/>
      <c r="CH228" s="27"/>
      <c r="CI228" s="27"/>
      <c r="CJ228" s="27"/>
      <c r="CK228" s="27"/>
    </row>
    <row r="229" ht="14.25" customHeight="1">
      <c r="A229" s="118"/>
      <c r="B229" s="118"/>
      <c r="C229" s="118"/>
      <c r="D229" s="119"/>
      <c r="E229" s="119"/>
      <c r="F229" s="118"/>
      <c r="G229" s="118"/>
      <c r="H229" s="118"/>
      <c r="I229" s="118"/>
      <c r="AF229" s="22"/>
      <c r="AG229" s="22"/>
      <c r="AH229" s="22"/>
      <c r="AI229" s="22"/>
      <c r="AJ229" s="22"/>
      <c r="AK229" s="23"/>
      <c r="AN229" s="24"/>
      <c r="AO229" s="24"/>
      <c r="AX229" s="25"/>
      <c r="BR229" s="25"/>
      <c r="CF229" s="27"/>
      <c r="CG229" s="27"/>
      <c r="CH229" s="27"/>
      <c r="CI229" s="27"/>
      <c r="CJ229" s="27"/>
      <c r="CK229" s="27"/>
    </row>
    <row r="230" ht="14.25" customHeight="1">
      <c r="A230" s="118"/>
      <c r="B230" s="118"/>
      <c r="C230" s="118"/>
      <c r="D230" s="119"/>
      <c r="E230" s="119"/>
      <c r="F230" s="118"/>
      <c r="G230" s="118"/>
      <c r="H230" s="118"/>
      <c r="I230" s="118"/>
      <c r="AF230" s="22"/>
      <c r="AG230" s="22"/>
      <c r="AH230" s="22"/>
      <c r="AI230" s="22"/>
      <c r="AJ230" s="22"/>
      <c r="AK230" s="23"/>
      <c r="AN230" s="24"/>
      <c r="AO230" s="24"/>
      <c r="AX230" s="25"/>
      <c r="BR230" s="25"/>
      <c r="CF230" s="27"/>
      <c r="CG230" s="27"/>
      <c r="CH230" s="27"/>
      <c r="CI230" s="27"/>
      <c r="CJ230" s="27"/>
      <c r="CK230" s="27"/>
    </row>
    <row r="231" ht="14.25" customHeight="1">
      <c r="A231" s="118"/>
      <c r="B231" s="118"/>
      <c r="C231" s="118"/>
      <c r="D231" s="119"/>
      <c r="E231" s="119"/>
      <c r="F231" s="118"/>
      <c r="G231" s="118"/>
      <c r="H231" s="118"/>
      <c r="I231" s="118"/>
      <c r="AF231" s="22"/>
      <c r="AG231" s="22"/>
      <c r="AH231" s="22"/>
      <c r="AI231" s="22"/>
      <c r="AJ231" s="22"/>
      <c r="AK231" s="23"/>
      <c r="AN231" s="24"/>
      <c r="AO231" s="24"/>
      <c r="AX231" s="25"/>
      <c r="BR231" s="25"/>
      <c r="CF231" s="27"/>
      <c r="CG231" s="27"/>
      <c r="CH231" s="27"/>
      <c r="CI231" s="27"/>
      <c r="CJ231" s="27"/>
      <c r="CK231" s="27"/>
    </row>
    <row r="232" ht="14.25" customHeight="1">
      <c r="A232" s="118"/>
      <c r="B232" s="118"/>
      <c r="C232" s="118"/>
      <c r="D232" s="119"/>
      <c r="E232" s="119"/>
      <c r="F232" s="118"/>
      <c r="G232" s="118"/>
      <c r="H232" s="118"/>
      <c r="I232" s="118"/>
      <c r="AF232" s="22"/>
      <c r="AG232" s="22"/>
      <c r="AH232" s="22"/>
      <c r="AI232" s="22"/>
      <c r="AJ232" s="22"/>
      <c r="AK232" s="23"/>
      <c r="AN232" s="24"/>
      <c r="AO232" s="24"/>
      <c r="AX232" s="25"/>
      <c r="BR232" s="25"/>
      <c r="CF232" s="27"/>
      <c r="CG232" s="27"/>
      <c r="CH232" s="27"/>
      <c r="CI232" s="27"/>
      <c r="CJ232" s="27"/>
      <c r="CK232" s="27"/>
    </row>
    <row r="233" ht="14.25" customHeight="1">
      <c r="A233" s="118"/>
      <c r="B233" s="118"/>
      <c r="C233" s="118"/>
      <c r="D233" s="119"/>
      <c r="E233" s="119"/>
      <c r="F233" s="118"/>
      <c r="G233" s="118"/>
      <c r="H233" s="118"/>
      <c r="I233" s="118"/>
      <c r="AF233" s="22"/>
      <c r="AG233" s="22"/>
      <c r="AH233" s="22"/>
      <c r="AI233" s="22"/>
      <c r="AJ233" s="22"/>
      <c r="AK233" s="23"/>
      <c r="AN233" s="24"/>
      <c r="AO233" s="24"/>
      <c r="AX233" s="25"/>
      <c r="BR233" s="25"/>
      <c r="CF233" s="27"/>
      <c r="CG233" s="27"/>
      <c r="CH233" s="27"/>
      <c r="CI233" s="27"/>
      <c r="CJ233" s="27"/>
      <c r="CK233" s="27"/>
    </row>
    <row r="234" ht="14.25" customHeight="1">
      <c r="A234" s="118"/>
      <c r="B234" s="118"/>
      <c r="C234" s="118"/>
      <c r="D234" s="119"/>
      <c r="E234" s="119"/>
      <c r="F234" s="118"/>
      <c r="G234" s="118"/>
      <c r="H234" s="118"/>
      <c r="I234" s="118"/>
      <c r="AF234" s="22"/>
      <c r="AG234" s="22"/>
      <c r="AH234" s="22"/>
      <c r="AI234" s="22"/>
      <c r="AJ234" s="22"/>
      <c r="AK234" s="23"/>
      <c r="AN234" s="24"/>
      <c r="AO234" s="24"/>
      <c r="AX234" s="25"/>
      <c r="BR234" s="25"/>
      <c r="CF234" s="27"/>
      <c r="CG234" s="27"/>
      <c r="CH234" s="27"/>
      <c r="CI234" s="27"/>
      <c r="CJ234" s="27"/>
      <c r="CK234" s="27"/>
    </row>
    <row r="235" ht="14.25" customHeight="1">
      <c r="A235" s="118"/>
      <c r="B235" s="118"/>
      <c r="C235" s="118"/>
      <c r="D235" s="119"/>
      <c r="E235" s="119"/>
      <c r="F235" s="118"/>
      <c r="G235" s="118"/>
      <c r="H235" s="118"/>
      <c r="I235" s="118"/>
      <c r="AF235" s="22"/>
      <c r="AG235" s="22"/>
      <c r="AH235" s="22"/>
      <c r="AI235" s="22"/>
      <c r="AJ235" s="22"/>
      <c r="AK235" s="23"/>
      <c r="AN235" s="24"/>
      <c r="AO235" s="24"/>
      <c r="AX235" s="25"/>
      <c r="BR235" s="25"/>
      <c r="CF235" s="27"/>
      <c r="CG235" s="27"/>
      <c r="CH235" s="27"/>
      <c r="CI235" s="27"/>
      <c r="CJ235" s="27"/>
      <c r="CK235" s="27"/>
    </row>
    <row r="236" ht="14.25" customHeight="1">
      <c r="A236" s="118"/>
      <c r="B236" s="118"/>
      <c r="C236" s="118"/>
      <c r="D236" s="119"/>
      <c r="E236" s="119"/>
      <c r="F236" s="118"/>
      <c r="G236" s="118"/>
      <c r="H236" s="118"/>
      <c r="I236" s="118"/>
      <c r="AF236" s="22"/>
      <c r="AG236" s="22"/>
      <c r="AH236" s="22"/>
      <c r="AI236" s="22"/>
      <c r="AJ236" s="22"/>
      <c r="AK236" s="23"/>
      <c r="AN236" s="24"/>
      <c r="AO236" s="24"/>
      <c r="AX236" s="25"/>
      <c r="BR236" s="25"/>
      <c r="CF236" s="27"/>
      <c r="CG236" s="27"/>
      <c r="CH236" s="27"/>
      <c r="CI236" s="27"/>
      <c r="CJ236" s="27"/>
      <c r="CK236" s="27"/>
    </row>
    <row r="237" ht="14.25" customHeight="1">
      <c r="A237" s="118"/>
      <c r="B237" s="118"/>
      <c r="C237" s="118"/>
      <c r="D237" s="119"/>
      <c r="E237" s="119"/>
      <c r="F237" s="118"/>
      <c r="G237" s="118"/>
      <c r="H237" s="118"/>
      <c r="I237" s="118"/>
      <c r="AF237" s="22"/>
      <c r="AG237" s="22"/>
      <c r="AH237" s="22"/>
      <c r="AI237" s="22"/>
      <c r="AJ237" s="22"/>
      <c r="AK237" s="23"/>
      <c r="AN237" s="24"/>
      <c r="AO237" s="24"/>
      <c r="AX237" s="25"/>
      <c r="BR237" s="25"/>
      <c r="CF237" s="27"/>
      <c r="CG237" s="27"/>
      <c r="CH237" s="27"/>
      <c r="CI237" s="27"/>
      <c r="CJ237" s="27"/>
      <c r="CK237" s="27"/>
    </row>
    <row r="238" ht="14.25" customHeight="1">
      <c r="A238" s="118"/>
      <c r="B238" s="118"/>
      <c r="C238" s="118"/>
      <c r="D238" s="119"/>
      <c r="E238" s="119"/>
      <c r="F238" s="118"/>
      <c r="G238" s="118"/>
      <c r="H238" s="118"/>
      <c r="I238" s="118"/>
      <c r="AF238" s="22"/>
      <c r="AG238" s="22"/>
      <c r="AH238" s="22"/>
      <c r="AI238" s="22"/>
      <c r="AJ238" s="22"/>
      <c r="AK238" s="23"/>
      <c r="AN238" s="24"/>
      <c r="AO238" s="24"/>
      <c r="AX238" s="25"/>
      <c r="BR238" s="25"/>
      <c r="CF238" s="27"/>
      <c r="CG238" s="27"/>
      <c r="CH238" s="27"/>
      <c r="CI238" s="27"/>
      <c r="CJ238" s="27"/>
      <c r="CK238" s="27"/>
    </row>
    <row r="239" ht="14.25" customHeight="1">
      <c r="A239" s="118"/>
      <c r="B239" s="118"/>
      <c r="C239" s="118"/>
      <c r="D239" s="119"/>
      <c r="E239" s="119"/>
      <c r="F239" s="118"/>
      <c r="G239" s="118"/>
      <c r="H239" s="118"/>
      <c r="I239" s="118"/>
      <c r="AF239" s="22"/>
      <c r="AG239" s="22"/>
      <c r="AH239" s="22"/>
      <c r="AI239" s="22"/>
      <c r="AJ239" s="22"/>
      <c r="AK239" s="23"/>
      <c r="AN239" s="24"/>
      <c r="AO239" s="24"/>
      <c r="AX239" s="25"/>
      <c r="BR239" s="25"/>
      <c r="CF239" s="27"/>
      <c r="CG239" s="27"/>
      <c r="CH239" s="27"/>
      <c r="CI239" s="27"/>
      <c r="CJ239" s="27"/>
      <c r="CK239" s="27"/>
    </row>
    <row r="240" ht="14.25" customHeight="1">
      <c r="A240" s="118"/>
      <c r="B240" s="118"/>
      <c r="C240" s="118"/>
      <c r="D240" s="119"/>
      <c r="E240" s="119"/>
      <c r="F240" s="118"/>
      <c r="G240" s="118"/>
      <c r="H240" s="118"/>
      <c r="I240" s="118"/>
      <c r="AF240" s="22"/>
      <c r="AG240" s="22"/>
      <c r="AH240" s="22"/>
      <c r="AI240" s="22"/>
      <c r="AJ240" s="22"/>
      <c r="AK240" s="23"/>
      <c r="AN240" s="24"/>
      <c r="AO240" s="24"/>
      <c r="AX240" s="25"/>
      <c r="BR240" s="25"/>
      <c r="CF240" s="27"/>
      <c r="CG240" s="27"/>
      <c r="CH240" s="27"/>
      <c r="CI240" s="27"/>
      <c r="CJ240" s="27"/>
      <c r="CK240" s="27"/>
    </row>
    <row r="241" ht="14.25" customHeight="1">
      <c r="A241" s="118"/>
      <c r="B241" s="118"/>
      <c r="C241" s="118"/>
      <c r="D241" s="119"/>
      <c r="E241" s="119"/>
      <c r="F241" s="118"/>
      <c r="G241" s="118"/>
      <c r="H241" s="118"/>
      <c r="I241" s="118"/>
      <c r="AF241" s="22"/>
      <c r="AG241" s="22"/>
      <c r="AH241" s="22"/>
      <c r="AI241" s="22"/>
      <c r="AJ241" s="22"/>
      <c r="AK241" s="23"/>
      <c r="AN241" s="24"/>
      <c r="AO241" s="24"/>
      <c r="AX241" s="25"/>
      <c r="BR241" s="25"/>
      <c r="CF241" s="27"/>
      <c r="CG241" s="27"/>
      <c r="CH241" s="27"/>
      <c r="CI241" s="27"/>
      <c r="CJ241" s="27"/>
      <c r="CK241" s="27"/>
    </row>
    <row r="242" ht="14.25" customHeight="1">
      <c r="A242" s="118"/>
      <c r="B242" s="118"/>
      <c r="C242" s="118"/>
      <c r="D242" s="119"/>
      <c r="E242" s="119"/>
      <c r="F242" s="118"/>
      <c r="G242" s="118"/>
      <c r="H242" s="118"/>
      <c r="I242" s="118"/>
      <c r="AF242" s="22"/>
      <c r="AG242" s="22"/>
      <c r="AH242" s="22"/>
      <c r="AI242" s="22"/>
      <c r="AJ242" s="22"/>
      <c r="AK242" s="23"/>
      <c r="AN242" s="24"/>
      <c r="AO242" s="24"/>
      <c r="AX242" s="25"/>
      <c r="BR242" s="25"/>
      <c r="CF242" s="27"/>
      <c r="CG242" s="27"/>
      <c r="CH242" s="27"/>
      <c r="CI242" s="27"/>
      <c r="CJ242" s="27"/>
      <c r="CK242" s="27"/>
    </row>
    <row r="243" ht="14.25" customHeight="1">
      <c r="A243" s="118"/>
      <c r="B243" s="118"/>
      <c r="C243" s="118"/>
      <c r="D243" s="119"/>
      <c r="E243" s="119"/>
      <c r="F243" s="118"/>
      <c r="G243" s="118"/>
      <c r="H243" s="118"/>
      <c r="I243" s="118"/>
      <c r="AF243" s="22"/>
      <c r="AG243" s="22"/>
      <c r="AH243" s="22"/>
      <c r="AI243" s="22"/>
      <c r="AJ243" s="22"/>
      <c r="AK243" s="23"/>
      <c r="AN243" s="24"/>
      <c r="AO243" s="24"/>
      <c r="AX243" s="25"/>
      <c r="BR243" s="25"/>
      <c r="CF243" s="27"/>
      <c r="CG243" s="27"/>
      <c r="CH243" s="27"/>
      <c r="CI243" s="27"/>
      <c r="CJ243" s="27"/>
      <c r="CK243" s="27"/>
    </row>
    <row r="244" ht="14.25" customHeight="1">
      <c r="A244" s="118"/>
      <c r="B244" s="118"/>
      <c r="C244" s="118"/>
      <c r="D244" s="119"/>
      <c r="E244" s="119"/>
      <c r="F244" s="118"/>
      <c r="G244" s="118"/>
      <c r="H244" s="118"/>
      <c r="I244" s="118"/>
      <c r="AF244" s="22"/>
      <c r="AG244" s="22"/>
      <c r="AH244" s="22"/>
      <c r="AI244" s="22"/>
      <c r="AJ244" s="22"/>
      <c r="AK244" s="23"/>
      <c r="AN244" s="24"/>
      <c r="AO244" s="24"/>
      <c r="AX244" s="25"/>
      <c r="BR244" s="25"/>
      <c r="CF244" s="27"/>
      <c r="CG244" s="27"/>
      <c r="CH244" s="27"/>
      <c r="CI244" s="27"/>
      <c r="CJ244" s="27"/>
      <c r="CK244" s="27"/>
    </row>
    <row r="245" ht="14.25" customHeight="1">
      <c r="A245" s="118"/>
      <c r="B245" s="118"/>
      <c r="C245" s="118"/>
      <c r="D245" s="119"/>
      <c r="E245" s="119"/>
      <c r="F245" s="118"/>
      <c r="G245" s="118"/>
      <c r="H245" s="118"/>
      <c r="I245" s="118"/>
      <c r="AF245" s="22"/>
      <c r="AG245" s="22"/>
      <c r="AH245" s="22"/>
      <c r="AI245" s="22"/>
      <c r="AJ245" s="22"/>
      <c r="AK245" s="23"/>
      <c r="AN245" s="24"/>
      <c r="AO245" s="24"/>
      <c r="AX245" s="25"/>
      <c r="BR245" s="25"/>
      <c r="CF245" s="27"/>
      <c r="CG245" s="27"/>
      <c r="CH245" s="27"/>
      <c r="CI245" s="27"/>
      <c r="CJ245" s="27"/>
      <c r="CK245" s="27"/>
    </row>
    <row r="246" ht="14.25" customHeight="1">
      <c r="A246" s="118"/>
      <c r="B246" s="118"/>
      <c r="C246" s="118"/>
      <c r="D246" s="119"/>
      <c r="E246" s="119"/>
      <c r="F246" s="118"/>
      <c r="G246" s="118"/>
      <c r="H246" s="118"/>
      <c r="I246" s="118"/>
      <c r="AF246" s="22"/>
      <c r="AG246" s="22"/>
      <c r="AH246" s="22"/>
      <c r="AI246" s="22"/>
      <c r="AJ246" s="22"/>
      <c r="AK246" s="23"/>
      <c r="AN246" s="24"/>
      <c r="AO246" s="24"/>
      <c r="AX246" s="25"/>
      <c r="BR246" s="25"/>
      <c r="CF246" s="27"/>
      <c r="CG246" s="27"/>
      <c r="CH246" s="27"/>
      <c r="CI246" s="27"/>
      <c r="CJ246" s="27"/>
      <c r="CK246" s="27"/>
    </row>
    <row r="247" ht="14.25" customHeight="1">
      <c r="A247" s="118"/>
      <c r="B247" s="118"/>
      <c r="C247" s="118"/>
      <c r="D247" s="119"/>
      <c r="E247" s="119"/>
      <c r="F247" s="118"/>
      <c r="G247" s="118"/>
      <c r="H247" s="118"/>
      <c r="I247" s="118"/>
      <c r="AF247" s="22"/>
      <c r="AG247" s="22"/>
      <c r="AH247" s="22"/>
      <c r="AI247" s="22"/>
      <c r="AJ247" s="22"/>
      <c r="AK247" s="23"/>
      <c r="AN247" s="24"/>
      <c r="AO247" s="24"/>
      <c r="AX247" s="25"/>
      <c r="BR247" s="25"/>
      <c r="CF247" s="27"/>
      <c r="CG247" s="27"/>
      <c r="CH247" s="27"/>
      <c r="CI247" s="27"/>
      <c r="CJ247" s="27"/>
      <c r="CK247" s="27"/>
    </row>
    <row r="248" ht="14.25" customHeight="1">
      <c r="A248" s="118"/>
      <c r="B248" s="118"/>
      <c r="C248" s="118"/>
      <c r="D248" s="119"/>
      <c r="E248" s="119"/>
      <c r="F248" s="118"/>
      <c r="G248" s="118"/>
      <c r="H248" s="118"/>
      <c r="I248" s="118"/>
      <c r="AF248" s="22"/>
      <c r="AG248" s="22"/>
      <c r="AH248" s="22"/>
      <c r="AI248" s="22"/>
      <c r="AJ248" s="22"/>
      <c r="AK248" s="23"/>
      <c r="AN248" s="24"/>
      <c r="AO248" s="24"/>
      <c r="AX248" s="25"/>
      <c r="BR248" s="25"/>
      <c r="CF248" s="27"/>
      <c r="CG248" s="27"/>
      <c r="CH248" s="27"/>
      <c r="CI248" s="27"/>
      <c r="CJ248" s="27"/>
      <c r="CK248" s="27"/>
    </row>
    <row r="249" ht="14.25" customHeight="1">
      <c r="A249" s="118"/>
      <c r="B249" s="118"/>
      <c r="C249" s="118"/>
      <c r="D249" s="119"/>
      <c r="E249" s="119"/>
      <c r="F249" s="118"/>
      <c r="G249" s="118"/>
      <c r="H249" s="118"/>
      <c r="I249" s="118"/>
      <c r="AF249" s="22"/>
      <c r="AG249" s="22"/>
      <c r="AH249" s="22"/>
      <c r="AI249" s="22"/>
      <c r="AJ249" s="22"/>
      <c r="AK249" s="23"/>
      <c r="AN249" s="24"/>
      <c r="AO249" s="24"/>
      <c r="AX249" s="25"/>
      <c r="BR249" s="25"/>
      <c r="CF249" s="27"/>
      <c r="CG249" s="27"/>
      <c r="CH249" s="27"/>
      <c r="CI249" s="27"/>
      <c r="CJ249" s="27"/>
      <c r="CK249" s="27"/>
    </row>
    <row r="250" ht="14.25" customHeight="1">
      <c r="A250" s="118"/>
      <c r="B250" s="118"/>
      <c r="C250" s="118"/>
      <c r="D250" s="119"/>
      <c r="E250" s="119"/>
      <c r="F250" s="118"/>
      <c r="G250" s="118"/>
      <c r="H250" s="118"/>
      <c r="I250" s="118"/>
      <c r="AF250" s="22"/>
      <c r="AG250" s="22"/>
      <c r="AH250" s="22"/>
      <c r="AI250" s="22"/>
      <c r="AJ250" s="22"/>
      <c r="AK250" s="23"/>
      <c r="AN250" s="24"/>
      <c r="AO250" s="24"/>
      <c r="AX250" s="25"/>
      <c r="BR250" s="25"/>
      <c r="CF250" s="27"/>
      <c r="CG250" s="27"/>
      <c r="CH250" s="27"/>
      <c r="CI250" s="27"/>
      <c r="CJ250" s="27"/>
      <c r="CK250" s="27"/>
    </row>
    <row r="251" ht="14.25" customHeight="1">
      <c r="A251" s="118"/>
      <c r="B251" s="118"/>
      <c r="C251" s="118"/>
      <c r="D251" s="119"/>
      <c r="E251" s="119"/>
      <c r="F251" s="118"/>
      <c r="G251" s="118"/>
      <c r="H251" s="118"/>
      <c r="I251" s="118"/>
      <c r="AF251" s="22"/>
      <c r="AG251" s="22"/>
      <c r="AH251" s="22"/>
      <c r="AI251" s="22"/>
      <c r="AJ251" s="22"/>
      <c r="AK251" s="23"/>
      <c r="AN251" s="24"/>
      <c r="AO251" s="24"/>
      <c r="AX251" s="25"/>
      <c r="BR251" s="25"/>
      <c r="CF251" s="27"/>
      <c r="CG251" s="27"/>
      <c r="CH251" s="27"/>
      <c r="CI251" s="27"/>
      <c r="CJ251" s="27"/>
      <c r="CK251" s="27"/>
    </row>
    <row r="252" ht="14.25" customHeight="1">
      <c r="A252" s="118"/>
      <c r="B252" s="118"/>
      <c r="C252" s="118"/>
      <c r="D252" s="119"/>
      <c r="E252" s="119"/>
      <c r="F252" s="118"/>
      <c r="G252" s="118"/>
      <c r="H252" s="118"/>
      <c r="I252" s="118"/>
      <c r="AF252" s="22"/>
      <c r="AG252" s="22"/>
      <c r="AH252" s="22"/>
      <c r="AI252" s="22"/>
      <c r="AJ252" s="22"/>
      <c r="AK252" s="23"/>
      <c r="AN252" s="24"/>
      <c r="AO252" s="24"/>
      <c r="AX252" s="25"/>
      <c r="BR252" s="25"/>
      <c r="CF252" s="27"/>
      <c r="CG252" s="27"/>
      <c r="CH252" s="27"/>
      <c r="CI252" s="27"/>
      <c r="CJ252" s="27"/>
      <c r="CK252" s="27"/>
    </row>
    <row r="253" ht="14.25" customHeight="1">
      <c r="A253" s="118"/>
      <c r="B253" s="118"/>
      <c r="C253" s="118"/>
      <c r="D253" s="119"/>
      <c r="E253" s="119"/>
      <c r="F253" s="118"/>
      <c r="G253" s="118"/>
      <c r="H253" s="118"/>
      <c r="I253" s="118"/>
      <c r="AF253" s="22"/>
      <c r="AG253" s="22"/>
      <c r="AH253" s="22"/>
      <c r="AI253" s="22"/>
      <c r="AJ253" s="22"/>
      <c r="AK253" s="23"/>
      <c r="AN253" s="24"/>
      <c r="AO253" s="24"/>
      <c r="AX253" s="25"/>
      <c r="BR253" s="25"/>
      <c r="CF253" s="27"/>
      <c r="CG253" s="27"/>
      <c r="CH253" s="27"/>
      <c r="CI253" s="27"/>
      <c r="CJ253" s="27"/>
      <c r="CK253" s="27"/>
    </row>
    <row r="254" ht="14.25" customHeight="1">
      <c r="A254" s="118"/>
      <c r="B254" s="118"/>
      <c r="C254" s="118"/>
      <c r="D254" s="119"/>
      <c r="E254" s="119"/>
      <c r="F254" s="118"/>
      <c r="G254" s="118"/>
      <c r="H254" s="118"/>
      <c r="I254" s="118"/>
      <c r="AF254" s="22"/>
      <c r="AG254" s="22"/>
      <c r="AH254" s="22"/>
      <c r="AI254" s="22"/>
      <c r="AJ254" s="22"/>
      <c r="AK254" s="23"/>
      <c r="AN254" s="24"/>
      <c r="AO254" s="24"/>
      <c r="AX254" s="25"/>
      <c r="BR254" s="25"/>
      <c r="CF254" s="27"/>
      <c r="CG254" s="27"/>
      <c r="CH254" s="27"/>
      <c r="CI254" s="27"/>
      <c r="CJ254" s="27"/>
      <c r="CK254" s="27"/>
    </row>
    <row r="255" ht="14.25" customHeight="1">
      <c r="A255" s="118"/>
      <c r="B255" s="118"/>
      <c r="C255" s="118"/>
      <c r="D255" s="119"/>
      <c r="E255" s="119"/>
      <c r="F255" s="118"/>
      <c r="G255" s="118"/>
      <c r="H255" s="118"/>
      <c r="I255" s="118"/>
      <c r="AF255" s="22"/>
      <c r="AG255" s="22"/>
      <c r="AH255" s="22"/>
      <c r="AI255" s="22"/>
      <c r="AJ255" s="22"/>
      <c r="AK255" s="23"/>
      <c r="AN255" s="24"/>
      <c r="AO255" s="24"/>
      <c r="AX255" s="25"/>
      <c r="BR255" s="25"/>
      <c r="CF255" s="27"/>
      <c r="CG255" s="27"/>
      <c r="CH255" s="27"/>
      <c r="CI255" s="27"/>
      <c r="CJ255" s="27"/>
      <c r="CK255" s="27"/>
    </row>
    <row r="256" ht="14.25" customHeight="1">
      <c r="A256" s="118"/>
      <c r="B256" s="118"/>
      <c r="C256" s="118"/>
      <c r="D256" s="119"/>
      <c r="E256" s="119"/>
      <c r="F256" s="118"/>
      <c r="G256" s="118"/>
      <c r="H256" s="118"/>
      <c r="I256" s="118"/>
      <c r="AF256" s="22"/>
      <c r="AG256" s="22"/>
      <c r="AH256" s="22"/>
      <c r="AI256" s="22"/>
      <c r="AJ256" s="22"/>
      <c r="AK256" s="23"/>
      <c r="AN256" s="24"/>
      <c r="AO256" s="24"/>
      <c r="AX256" s="25"/>
      <c r="BR256" s="25"/>
      <c r="CF256" s="27"/>
      <c r="CG256" s="27"/>
      <c r="CH256" s="27"/>
      <c r="CI256" s="27"/>
      <c r="CJ256" s="27"/>
      <c r="CK256" s="27"/>
    </row>
    <row r="257" ht="14.25" customHeight="1">
      <c r="A257" s="118"/>
      <c r="B257" s="118"/>
      <c r="C257" s="118"/>
      <c r="D257" s="119"/>
      <c r="E257" s="119"/>
      <c r="F257" s="118"/>
      <c r="G257" s="118"/>
      <c r="H257" s="118"/>
      <c r="I257" s="118"/>
      <c r="AF257" s="22"/>
      <c r="AG257" s="22"/>
      <c r="AH257" s="22"/>
      <c r="AI257" s="22"/>
      <c r="AJ257" s="22"/>
      <c r="AK257" s="23"/>
      <c r="AN257" s="24"/>
      <c r="AO257" s="24"/>
      <c r="AX257" s="25"/>
      <c r="BR257" s="25"/>
      <c r="CF257" s="27"/>
      <c r="CG257" s="27"/>
      <c r="CH257" s="27"/>
      <c r="CI257" s="27"/>
      <c r="CJ257" s="27"/>
      <c r="CK257" s="27"/>
    </row>
    <row r="258" ht="14.25" customHeight="1">
      <c r="A258" s="118"/>
      <c r="B258" s="118"/>
      <c r="C258" s="118"/>
      <c r="D258" s="119"/>
      <c r="E258" s="119"/>
      <c r="F258" s="118"/>
      <c r="G258" s="118"/>
      <c r="H258" s="118"/>
      <c r="I258" s="118"/>
      <c r="AF258" s="22"/>
      <c r="AG258" s="22"/>
      <c r="AH258" s="22"/>
      <c r="AI258" s="22"/>
      <c r="AJ258" s="22"/>
      <c r="AK258" s="23"/>
      <c r="AN258" s="24"/>
      <c r="AO258" s="24"/>
      <c r="AX258" s="25"/>
      <c r="BR258" s="25"/>
      <c r="CF258" s="27"/>
      <c r="CG258" s="27"/>
      <c r="CH258" s="27"/>
      <c r="CI258" s="27"/>
      <c r="CJ258" s="27"/>
      <c r="CK258" s="27"/>
    </row>
    <row r="259" ht="14.25" customHeight="1">
      <c r="A259" s="118"/>
      <c r="B259" s="118"/>
      <c r="C259" s="118"/>
      <c r="D259" s="119"/>
      <c r="E259" s="119"/>
      <c r="F259" s="118"/>
      <c r="G259" s="118"/>
      <c r="H259" s="118"/>
      <c r="I259" s="118"/>
      <c r="AF259" s="22"/>
      <c r="AG259" s="22"/>
      <c r="AH259" s="22"/>
      <c r="AI259" s="22"/>
      <c r="AJ259" s="22"/>
      <c r="AK259" s="23"/>
      <c r="AN259" s="24"/>
      <c r="AO259" s="24"/>
      <c r="AX259" s="25"/>
      <c r="BR259" s="25"/>
      <c r="CF259" s="27"/>
      <c r="CG259" s="27"/>
      <c r="CH259" s="27"/>
      <c r="CI259" s="27"/>
      <c r="CJ259" s="27"/>
      <c r="CK259" s="27"/>
    </row>
    <row r="260" ht="14.25" customHeight="1">
      <c r="A260" s="118"/>
      <c r="B260" s="118"/>
      <c r="C260" s="118"/>
      <c r="D260" s="119"/>
      <c r="E260" s="119"/>
      <c r="F260" s="118"/>
      <c r="G260" s="118"/>
      <c r="H260" s="118"/>
      <c r="I260" s="118"/>
      <c r="AF260" s="22"/>
      <c r="AG260" s="22"/>
      <c r="AH260" s="22"/>
      <c r="AI260" s="22"/>
      <c r="AJ260" s="22"/>
      <c r="AK260" s="23"/>
      <c r="AN260" s="24"/>
      <c r="AO260" s="24"/>
      <c r="AX260" s="25"/>
      <c r="BR260" s="25"/>
      <c r="CF260" s="27"/>
      <c r="CG260" s="27"/>
      <c r="CH260" s="27"/>
      <c r="CI260" s="27"/>
      <c r="CJ260" s="27"/>
      <c r="CK260" s="27"/>
    </row>
    <row r="261" ht="14.25" customHeight="1">
      <c r="A261" s="118"/>
      <c r="B261" s="118"/>
      <c r="C261" s="118"/>
      <c r="D261" s="119"/>
      <c r="E261" s="119"/>
      <c r="F261" s="118"/>
      <c r="G261" s="118"/>
      <c r="H261" s="118"/>
      <c r="I261" s="118"/>
      <c r="AF261" s="22"/>
      <c r="AG261" s="22"/>
      <c r="AH261" s="22"/>
      <c r="AI261" s="22"/>
      <c r="AJ261" s="22"/>
      <c r="AK261" s="23"/>
      <c r="AN261" s="24"/>
      <c r="AO261" s="24"/>
      <c r="AX261" s="25"/>
      <c r="BR261" s="25"/>
      <c r="CF261" s="27"/>
      <c r="CG261" s="27"/>
      <c r="CH261" s="27"/>
      <c r="CI261" s="27"/>
      <c r="CJ261" s="27"/>
      <c r="CK261" s="27"/>
    </row>
    <row r="262" ht="14.25" customHeight="1">
      <c r="A262" s="118"/>
      <c r="B262" s="118"/>
      <c r="C262" s="118"/>
      <c r="D262" s="119"/>
      <c r="E262" s="119"/>
      <c r="F262" s="118"/>
      <c r="G262" s="118"/>
      <c r="H262" s="118"/>
      <c r="I262" s="118"/>
      <c r="AF262" s="22"/>
      <c r="AG262" s="22"/>
      <c r="AH262" s="22"/>
      <c r="AI262" s="22"/>
      <c r="AJ262" s="22"/>
      <c r="AK262" s="23"/>
      <c r="AN262" s="24"/>
      <c r="AO262" s="24"/>
      <c r="AX262" s="25"/>
      <c r="BR262" s="25"/>
      <c r="CF262" s="27"/>
      <c r="CG262" s="27"/>
      <c r="CH262" s="27"/>
      <c r="CI262" s="27"/>
      <c r="CJ262" s="27"/>
      <c r="CK262" s="27"/>
    </row>
    <row r="263" ht="14.25" customHeight="1">
      <c r="A263" s="118"/>
      <c r="B263" s="118"/>
      <c r="C263" s="118"/>
      <c r="D263" s="119"/>
      <c r="E263" s="119"/>
      <c r="F263" s="118"/>
      <c r="G263" s="118"/>
      <c r="H263" s="118"/>
      <c r="I263" s="118"/>
      <c r="AF263" s="22"/>
      <c r="AG263" s="22"/>
      <c r="AH263" s="22"/>
      <c r="AI263" s="22"/>
      <c r="AJ263" s="22"/>
      <c r="AK263" s="23"/>
      <c r="AN263" s="24"/>
      <c r="AO263" s="24"/>
      <c r="AX263" s="25"/>
      <c r="BR263" s="25"/>
      <c r="CF263" s="27"/>
      <c r="CG263" s="27"/>
      <c r="CH263" s="27"/>
      <c r="CI263" s="27"/>
      <c r="CJ263" s="27"/>
      <c r="CK263" s="27"/>
    </row>
    <row r="264" ht="14.25" customHeight="1">
      <c r="A264" s="118"/>
      <c r="B264" s="118"/>
      <c r="C264" s="118"/>
      <c r="D264" s="119"/>
      <c r="E264" s="119"/>
      <c r="F264" s="118"/>
      <c r="G264" s="118"/>
      <c r="H264" s="118"/>
      <c r="I264" s="118"/>
      <c r="AF264" s="22"/>
      <c r="AG264" s="22"/>
      <c r="AH264" s="22"/>
      <c r="AI264" s="22"/>
      <c r="AJ264" s="22"/>
      <c r="AK264" s="23"/>
      <c r="AN264" s="24"/>
      <c r="AO264" s="24"/>
      <c r="AX264" s="25"/>
      <c r="BR264" s="25"/>
      <c r="CF264" s="27"/>
      <c r="CG264" s="27"/>
      <c r="CH264" s="27"/>
      <c r="CI264" s="27"/>
      <c r="CJ264" s="27"/>
      <c r="CK264" s="27"/>
    </row>
    <row r="265" ht="14.25" customHeight="1">
      <c r="A265" s="118"/>
      <c r="B265" s="118"/>
      <c r="C265" s="118"/>
      <c r="D265" s="119"/>
      <c r="E265" s="119"/>
      <c r="F265" s="118"/>
      <c r="G265" s="118"/>
      <c r="H265" s="118"/>
      <c r="I265" s="118"/>
      <c r="AF265" s="22"/>
      <c r="AG265" s="22"/>
      <c r="AH265" s="22"/>
      <c r="AI265" s="22"/>
      <c r="AJ265" s="22"/>
      <c r="AK265" s="23"/>
      <c r="AN265" s="24"/>
      <c r="AO265" s="24"/>
      <c r="AX265" s="25"/>
      <c r="BR265" s="25"/>
      <c r="CF265" s="27"/>
      <c r="CG265" s="27"/>
      <c r="CH265" s="27"/>
      <c r="CI265" s="27"/>
      <c r="CJ265" s="27"/>
      <c r="CK265" s="27"/>
    </row>
    <row r="266" ht="14.25" customHeight="1">
      <c r="A266" s="118"/>
      <c r="B266" s="118"/>
      <c r="C266" s="118"/>
      <c r="D266" s="119"/>
      <c r="E266" s="119"/>
      <c r="F266" s="118"/>
      <c r="G266" s="118"/>
      <c r="H266" s="118"/>
      <c r="I266" s="118"/>
      <c r="AF266" s="22"/>
      <c r="AG266" s="22"/>
      <c r="AH266" s="22"/>
      <c r="AI266" s="22"/>
      <c r="AJ266" s="22"/>
      <c r="AK266" s="23"/>
      <c r="AN266" s="24"/>
      <c r="AO266" s="24"/>
      <c r="AX266" s="25"/>
      <c r="BR266" s="25"/>
      <c r="CF266" s="27"/>
      <c r="CG266" s="27"/>
      <c r="CH266" s="27"/>
      <c r="CI266" s="27"/>
      <c r="CJ266" s="27"/>
      <c r="CK266" s="27"/>
    </row>
    <row r="267" ht="14.25" customHeight="1">
      <c r="A267" s="118"/>
      <c r="B267" s="118"/>
      <c r="C267" s="118"/>
      <c r="D267" s="119"/>
      <c r="E267" s="119"/>
      <c r="F267" s="118"/>
      <c r="G267" s="118"/>
      <c r="H267" s="118"/>
      <c r="I267" s="118"/>
      <c r="AF267" s="22"/>
      <c r="AG267" s="22"/>
      <c r="AH267" s="22"/>
      <c r="AI267" s="22"/>
      <c r="AJ267" s="22"/>
      <c r="AK267" s="23"/>
      <c r="AN267" s="24"/>
      <c r="AO267" s="24"/>
      <c r="AX267" s="25"/>
      <c r="BR267" s="25"/>
      <c r="CF267" s="27"/>
      <c r="CG267" s="27"/>
      <c r="CH267" s="27"/>
      <c r="CI267" s="27"/>
      <c r="CJ267" s="27"/>
      <c r="CK267" s="27"/>
    </row>
    <row r="268" ht="14.25" customHeight="1">
      <c r="A268" s="118"/>
      <c r="B268" s="118"/>
      <c r="C268" s="118"/>
      <c r="D268" s="119"/>
      <c r="E268" s="119"/>
      <c r="F268" s="118"/>
      <c r="G268" s="118"/>
      <c r="H268" s="118"/>
      <c r="I268" s="118"/>
      <c r="AF268" s="22"/>
      <c r="AG268" s="22"/>
      <c r="AH268" s="22"/>
      <c r="AI268" s="22"/>
      <c r="AJ268" s="22"/>
      <c r="AK268" s="23"/>
      <c r="AN268" s="24"/>
      <c r="AO268" s="24"/>
      <c r="AX268" s="25"/>
      <c r="BR268" s="25"/>
      <c r="CF268" s="27"/>
      <c r="CG268" s="27"/>
      <c r="CH268" s="27"/>
      <c r="CI268" s="27"/>
      <c r="CJ268" s="27"/>
      <c r="CK268" s="27"/>
    </row>
    <row r="269" ht="14.25" customHeight="1">
      <c r="A269" s="118"/>
      <c r="B269" s="118"/>
      <c r="C269" s="118"/>
      <c r="D269" s="119"/>
      <c r="E269" s="119"/>
      <c r="F269" s="118"/>
      <c r="G269" s="118"/>
      <c r="H269" s="118"/>
      <c r="I269" s="118"/>
      <c r="AF269" s="22"/>
      <c r="AG269" s="22"/>
      <c r="AH269" s="22"/>
      <c r="AI269" s="22"/>
      <c r="AJ269" s="22"/>
      <c r="AK269" s="23"/>
      <c r="AN269" s="24"/>
      <c r="AO269" s="24"/>
      <c r="AX269" s="25"/>
      <c r="BR269" s="25"/>
      <c r="CF269" s="27"/>
      <c r="CG269" s="27"/>
      <c r="CH269" s="27"/>
      <c r="CI269" s="27"/>
      <c r="CJ269" s="27"/>
      <c r="CK269" s="27"/>
    </row>
    <row r="270" ht="14.25" customHeight="1">
      <c r="A270" s="118"/>
      <c r="B270" s="118"/>
      <c r="C270" s="118"/>
      <c r="D270" s="119"/>
      <c r="E270" s="119"/>
      <c r="F270" s="118"/>
      <c r="G270" s="118"/>
      <c r="H270" s="118"/>
      <c r="I270" s="118"/>
      <c r="AF270" s="22"/>
      <c r="AG270" s="22"/>
      <c r="AH270" s="22"/>
      <c r="AI270" s="22"/>
      <c r="AJ270" s="22"/>
      <c r="AK270" s="23"/>
      <c r="AN270" s="24"/>
      <c r="AO270" s="24"/>
      <c r="AX270" s="25"/>
      <c r="BR270" s="25"/>
      <c r="CF270" s="27"/>
      <c r="CG270" s="27"/>
      <c r="CH270" s="27"/>
      <c r="CI270" s="27"/>
      <c r="CJ270" s="27"/>
      <c r="CK270" s="27"/>
    </row>
    <row r="271" ht="14.25" customHeight="1">
      <c r="A271" s="118"/>
      <c r="B271" s="118"/>
      <c r="C271" s="118"/>
      <c r="D271" s="119"/>
      <c r="E271" s="119"/>
      <c r="F271" s="118"/>
      <c r="G271" s="118"/>
      <c r="H271" s="118"/>
      <c r="I271" s="118"/>
      <c r="AF271" s="22"/>
      <c r="AG271" s="22"/>
      <c r="AH271" s="22"/>
      <c r="AI271" s="22"/>
      <c r="AJ271" s="22"/>
      <c r="AK271" s="23"/>
      <c r="AN271" s="24"/>
      <c r="AO271" s="24"/>
      <c r="AX271" s="25"/>
      <c r="BR271" s="25"/>
      <c r="CF271" s="27"/>
      <c r="CG271" s="27"/>
      <c r="CH271" s="27"/>
      <c r="CI271" s="27"/>
      <c r="CJ271" s="27"/>
      <c r="CK271" s="27"/>
    </row>
    <row r="272" ht="14.25" customHeight="1">
      <c r="A272" s="118"/>
      <c r="B272" s="118"/>
      <c r="C272" s="118"/>
      <c r="D272" s="119"/>
      <c r="E272" s="119"/>
      <c r="F272" s="118"/>
      <c r="G272" s="118"/>
      <c r="H272" s="118"/>
      <c r="I272" s="118"/>
      <c r="AF272" s="22"/>
      <c r="AG272" s="22"/>
      <c r="AH272" s="22"/>
      <c r="AI272" s="22"/>
      <c r="AJ272" s="22"/>
      <c r="AK272" s="23"/>
      <c r="AN272" s="24"/>
      <c r="AO272" s="24"/>
      <c r="AX272" s="25"/>
      <c r="BR272" s="25"/>
      <c r="CF272" s="27"/>
      <c r="CG272" s="27"/>
      <c r="CH272" s="27"/>
      <c r="CI272" s="27"/>
      <c r="CJ272" s="27"/>
      <c r="CK272" s="27"/>
    </row>
    <row r="273" ht="14.25" customHeight="1">
      <c r="A273" s="118"/>
      <c r="B273" s="118"/>
      <c r="C273" s="118"/>
      <c r="D273" s="119"/>
      <c r="E273" s="119"/>
      <c r="F273" s="118"/>
      <c r="G273" s="118"/>
      <c r="H273" s="118"/>
      <c r="I273" s="118"/>
      <c r="AF273" s="22"/>
      <c r="AG273" s="22"/>
      <c r="AH273" s="22"/>
      <c r="AI273" s="22"/>
      <c r="AJ273" s="22"/>
      <c r="AK273" s="23"/>
      <c r="AN273" s="24"/>
      <c r="AO273" s="24"/>
      <c r="AX273" s="25"/>
      <c r="BR273" s="25"/>
      <c r="CF273" s="27"/>
      <c r="CG273" s="27"/>
      <c r="CH273" s="27"/>
      <c r="CI273" s="27"/>
      <c r="CJ273" s="27"/>
      <c r="CK273" s="27"/>
    </row>
    <row r="274" ht="14.25" customHeight="1">
      <c r="A274" s="118"/>
      <c r="B274" s="118"/>
      <c r="C274" s="118"/>
      <c r="D274" s="119"/>
      <c r="E274" s="119"/>
      <c r="F274" s="118"/>
      <c r="G274" s="118"/>
      <c r="H274" s="118"/>
      <c r="I274" s="118"/>
      <c r="AF274" s="22"/>
      <c r="AG274" s="22"/>
      <c r="AH274" s="22"/>
      <c r="AI274" s="22"/>
      <c r="AJ274" s="22"/>
      <c r="AK274" s="23"/>
      <c r="AN274" s="24"/>
      <c r="AO274" s="24"/>
      <c r="AX274" s="25"/>
      <c r="BR274" s="25"/>
      <c r="CF274" s="27"/>
      <c r="CG274" s="27"/>
      <c r="CH274" s="27"/>
      <c r="CI274" s="27"/>
      <c r="CJ274" s="27"/>
      <c r="CK274" s="27"/>
    </row>
    <row r="275" ht="14.25" customHeight="1">
      <c r="A275" s="118"/>
      <c r="B275" s="118"/>
      <c r="C275" s="118"/>
      <c r="D275" s="119"/>
      <c r="E275" s="119"/>
      <c r="F275" s="118"/>
      <c r="G275" s="118"/>
      <c r="H275" s="118"/>
      <c r="I275" s="118"/>
      <c r="AF275" s="22"/>
      <c r="AG275" s="22"/>
      <c r="AH275" s="22"/>
      <c r="AI275" s="22"/>
      <c r="AJ275" s="22"/>
      <c r="AK275" s="23"/>
      <c r="AN275" s="24"/>
      <c r="AO275" s="24"/>
      <c r="AX275" s="25"/>
      <c r="BR275" s="25"/>
      <c r="CF275" s="27"/>
      <c r="CG275" s="27"/>
      <c r="CH275" s="27"/>
      <c r="CI275" s="27"/>
      <c r="CJ275" s="27"/>
      <c r="CK275" s="27"/>
    </row>
    <row r="276" ht="14.25" customHeight="1">
      <c r="A276" s="118"/>
      <c r="B276" s="118"/>
      <c r="C276" s="118"/>
      <c r="D276" s="119"/>
      <c r="E276" s="119"/>
      <c r="F276" s="118"/>
      <c r="G276" s="118"/>
      <c r="H276" s="118"/>
      <c r="I276" s="118"/>
      <c r="AF276" s="22"/>
      <c r="AG276" s="22"/>
      <c r="AH276" s="22"/>
      <c r="AI276" s="22"/>
      <c r="AJ276" s="22"/>
      <c r="AK276" s="23"/>
      <c r="AN276" s="24"/>
      <c r="AO276" s="24"/>
      <c r="AX276" s="25"/>
      <c r="BR276" s="25"/>
      <c r="CF276" s="27"/>
      <c r="CG276" s="27"/>
      <c r="CH276" s="27"/>
      <c r="CI276" s="27"/>
      <c r="CJ276" s="27"/>
      <c r="CK276" s="27"/>
    </row>
    <row r="277" ht="14.25" customHeight="1">
      <c r="A277" s="118"/>
      <c r="B277" s="118"/>
      <c r="C277" s="118"/>
      <c r="D277" s="119"/>
      <c r="E277" s="119"/>
      <c r="F277" s="118"/>
      <c r="G277" s="118"/>
      <c r="H277" s="118"/>
      <c r="I277" s="118"/>
      <c r="AF277" s="22"/>
      <c r="AG277" s="22"/>
      <c r="AH277" s="22"/>
      <c r="AI277" s="22"/>
      <c r="AJ277" s="22"/>
      <c r="AK277" s="23"/>
      <c r="AN277" s="24"/>
      <c r="AO277" s="24"/>
      <c r="AX277" s="25"/>
      <c r="BR277" s="25"/>
      <c r="CF277" s="27"/>
      <c r="CG277" s="27"/>
      <c r="CH277" s="27"/>
      <c r="CI277" s="27"/>
      <c r="CJ277" s="27"/>
      <c r="CK277" s="27"/>
    </row>
    <row r="278" ht="14.25" customHeight="1">
      <c r="A278" s="118"/>
      <c r="B278" s="118"/>
      <c r="C278" s="118"/>
      <c r="D278" s="119"/>
      <c r="E278" s="119"/>
      <c r="F278" s="118"/>
      <c r="G278" s="118"/>
      <c r="H278" s="118"/>
      <c r="I278" s="118"/>
      <c r="AF278" s="22"/>
      <c r="AG278" s="22"/>
      <c r="AH278" s="22"/>
      <c r="AI278" s="22"/>
      <c r="AJ278" s="22"/>
      <c r="AK278" s="23"/>
      <c r="AN278" s="24"/>
      <c r="AO278" s="24"/>
      <c r="AX278" s="25"/>
      <c r="BR278" s="25"/>
      <c r="CF278" s="27"/>
      <c r="CG278" s="27"/>
      <c r="CH278" s="27"/>
      <c r="CI278" s="27"/>
      <c r="CJ278" s="27"/>
      <c r="CK278" s="27"/>
    </row>
    <row r="279" ht="14.25" customHeight="1">
      <c r="A279" s="118"/>
      <c r="B279" s="118"/>
      <c r="C279" s="118"/>
      <c r="D279" s="119"/>
      <c r="E279" s="119"/>
      <c r="F279" s="118"/>
      <c r="G279" s="118"/>
      <c r="H279" s="118"/>
      <c r="I279" s="118"/>
      <c r="AF279" s="22"/>
      <c r="AG279" s="22"/>
      <c r="AH279" s="22"/>
      <c r="AI279" s="22"/>
      <c r="AJ279" s="22"/>
      <c r="AK279" s="23"/>
      <c r="AN279" s="24"/>
      <c r="AO279" s="24"/>
      <c r="AX279" s="25"/>
      <c r="BR279" s="25"/>
      <c r="CF279" s="27"/>
      <c r="CG279" s="27"/>
      <c r="CH279" s="27"/>
      <c r="CI279" s="27"/>
      <c r="CJ279" s="27"/>
      <c r="CK279" s="27"/>
    </row>
    <row r="280" ht="14.25" customHeight="1">
      <c r="A280" s="118"/>
      <c r="B280" s="118"/>
      <c r="C280" s="118"/>
      <c r="D280" s="119"/>
      <c r="E280" s="119"/>
      <c r="F280" s="118"/>
      <c r="G280" s="118"/>
      <c r="H280" s="118"/>
      <c r="I280" s="118"/>
      <c r="AF280" s="22"/>
      <c r="AG280" s="22"/>
      <c r="AH280" s="22"/>
      <c r="AI280" s="22"/>
      <c r="AJ280" s="22"/>
      <c r="AK280" s="23"/>
      <c r="AN280" s="24"/>
      <c r="AO280" s="24"/>
      <c r="AX280" s="25"/>
      <c r="BR280" s="25"/>
      <c r="CF280" s="27"/>
      <c r="CG280" s="27"/>
      <c r="CH280" s="27"/>
      <c r="CI280" s="27"/>
      <c r="CJ280" s="27"/>
      <c r="CK280" s="27"/>
    </row>
    <row r="281" ht="14.25" customHeight="1">
      <c r="A281" s="118"/>
      <c r="B281" s="118"/>
      <c r="C281" s="118"/>
      <c r="D281" s="119"/>
      <c r="E281" s="119"/>
      <c r="F281" s="118"/>
      <c r="G281" s="118"/>
      <c r="H281" s="118"/>
      <c r="I281" s="118"/>
      <c r="AF281" s="22"/>
      <c r="AG281" s="22"/>
      <c r="AH281" s="22"/>
      <c r="AI281" s="22"/>
      <c r="AJ281" s="22"/>
      <c r="AK281" s="23"/>
      <c r="AN281" s="24"/>
      <c r="AO281" s="24"/>
      <c r="AX281" s="25"/>
      <c r="BR281" s="25"/>
      <c r="CF281" s="27"/>
      <c r="CG281" s="27"/>
      <c r="CH281" s="27"/>
      <c r="CI281" s="27"/>
      <c r="CJ281" s="27"/>
      <c r="CK281" s="27"/>
    </row>
    <row r="282" ht="14.25" customHeight="1">
      <c r="A282" s="118"/>
      <c r="B282" s="118"/>
      <c r="C282" s="118"/>
      <c r="D282" s="119"/>
      <c r="E282" s="119"/>
      <c r="F282" s="118"/>
      <c r="G282" s="118"/>
      <c r="H282" s="118"/>
      <c r="I282" s="118"/>
      <c r="AF282" s="22"/>
      <c r="AG282" s="22"/>
      <c r="AH282" s="22"/>
      <c r="AI282" s="22"/>
      <c r="AJ282" s="22"/>
      <c r="AK282" s="23"/>
      <c r="AN282" s="24"/>
      <c r="AO282" s="24"/>
      <c r="AX282" s="25"/>
      <c r="BR282" s="25"/>
      <c r="CF282" s="27"/>
      <c r="CG282" s="27"/>
      <c r="CH282" s="27"/>
      <c r="CI282" s="27"/>
      <c r="CJ282" s="27"/>
      <c r="CK282" s="27"/>
    </row>
    <row r="283" ht="14.25" customHeight="1">
      <c r="A283" s="118"/>
      <c r="B283" s="118"/>
      <c r="C283" s="118"/>
      <c r="D283" s="119"/>
      <c r="E283" s="119"/>
      <c r="F283" s="118"/>
      <c r="G283" s="118"/>
      <c r="H283" s="118"/>
      <c r="I283" s="118"/>
      <c r="AF283" s="22"/>
      <c r="AG283" s="22"/>
      <c r="AH283" s="22"/>
      <c r="AI283" s="22"/>
      <c r="AJ283" s="22"/>
      <c r="AK283" s="23"/>
      <c r="AN283" s="24"/>
      <c r="AO283" s="24"/>
      <c r="AX283" s="25"/>
      <c r="BR283" s="25"/>
      <c r="CF283" s="27"/>
      <c r="CG283" s="27"/>
      <c r="CH283" s="27"/>
      <c r="CI283" s="27"/>
      <c r="CJ283" s="27"/>
      <c r="CK283" s="27"/>
    </row>
    <row r="284" ht="14.25" customHeight="1">
      <c r="A284" s="118"/>
      <c r="B284" s="118"/>
      <c r="C284" s="118"/>
      <c r="D284" s="119"/>
      <c r="E284" s="119"/>
      <c r="F284" s="118"/>
      <c r="G284" s="118"/>
      <c r="H284" s="118"/>
      <c r="I284" s="118"/>
      <c r="AF284" s="22"/>
      <c r="AG284" s="22"/>
      <c r="AH284" s="22"/>
      <c r="AI284" s="22"/>
      <c r="AJ284" s="22"/>
      <c r="AK284" s="23"/>
      <c r="AN284" s="24"/>
      <c r="AO284" s="24"/>
      <c r="AX284" s="25"/>
      <c r="BR284" s="25"/>
      <c r="CF284" s="27"/>
      <c r="CG284" s="27"/>
      <c r="CH284" s="27"/>
      <c r="CI284" s="27"/>
      <c r="CJ284" s="27"/>
      <c r="CK284" s="27"/>
    </row>
    <row r="285" ht="14.25" customHeight="1">
      <c r="A285" s="118"/>
      <c r="B285" s="118"/>
      <c r="C285" s="118"/>
      <c r="D285" s="119"/>
      <c r="E285" s="119"/>
      <c r="F285" s="118"/>
      <c r="G285" s="118"/>
      <c r="H285" s="118"/>
      <c r="I285" s="118"/>
      <c r="AF285" s="22"/>
      <c r="AG285" s="22"/>
      <c r="AH285" s="22"/>
      <c r="AI285" s="22"/>
      <c r="AJ285" s="22"/>
      <c r="AK285" s="23"/>
      <c r="AN285" s="24"/>
      <c r="AO285" s="24"/>
      <c r="AX285" s="25"/>
      <c r="BR285" s="25"/>
      <c r="CF285" s="27"/>
      <c r="CG285" s="27"/>
      <c r="CH285" s="27"/>
      <c r="CI285" s="27"/>
      <c r="CJ285" s="27"/>
      <c r="CK285" s="27"/>
    </row>
    <row r="286" ht="14.25" customHeight="1">
      <c r="A286" s="118"/>
      <c r="B286" s="118"/>
      <c r="C286" s="118"/>
      <c r="D286" s="119"/>
      <c r="E286" s="119"/>
      <c r="F286" s="118"/>
      <c r="G286" s="118"/>
      <c r="H286" s="118"/>
      <c r="I286" s="118"/>
      <c r="AF286" s="22"/>
      <c r="AG286" s="22"/>
      <c r="AH286" s="22"/>
      <c r="AI286" s="22"/>
      <c r="AJ286" s="22"/>
      <c r="AK286" s="23"/>
      <c r="AN286" s="24"/>
      <c r="AO286" s="24"/>
      <c r="AX286" s="25"/>
      <c r="BR286" s="25"/>
      <c r="CF286" s="27"/>
      <c r="CG286" s="27"/>
      <c r="CH286" s="27"/>
      <c r="CI286" s="27"/>
      <c r="CJ286" s="27"/>
      <c r="CK286" s="27"/>
    </row>
    <row r="287" ht="14.25" customHeight="1">
      <c r="A287" s="118"/>
      <c r="B287" s="118"/>
      <c r="C287" s="118"/>
      <c r="D287" s="119"/>
      <c r="E287" s="119"/>
      <c r="F287" s="118"/>
      <c r="G287" s="118"/>
      <c r="H287" s="118"/>
      <c r="I287" s="118"/>
      <c r="AF287" s="22"/>
      <c r="AG287" s="22"/>
      <c r="AH287" s="22"/>
      <c r="AI287" s="22"/>
      <c r="AJ287" s="22"/>
      <c r="AK287" s="23"/>
      <c r="AN287" s="24"/>
      <c r="AO287" s="24"/>
      <c r="AX287" s="25"/>
      <c r="BR287" s="25"/>
      <c r="CF287" s="27"/>
      <c r="CG287" s="27"/>
      <c r="CH287" s="27"/>
      <c r="CI287" s="27"/>
      <c r="CJ287" s="27"/>
      <c r="CK287" s="27"/>
    </row>
    <row r="288" ht="14.25" customHeight="1">
      <c r="A288" s="118"/>
      <c r="B288" s="118"/>
      <c r="C288" s="118"/>
      <c r="D288" s="119"/>
      <c r="E288" s="119"/>
      <c r="F288" s="118"/>
      <c r="G288" s="118"/>
      <c r="H288" s="118"/>
      <c r="I288" s="118"/>
      <c r="AF288" s="22"/>
      <c r="AG288" s="22"/>
      <c r="AH288" s="22"/>
      <c r="AI288" s="22"/>
      <c r="AJ288" s="22"/>
      <c r="AK288" s="23"/>
      <c r="AN288" s="24"/>
      <c r="AO288" s="24"/>
      <c r="AX288" s="25"/>
      <c r="BR288" s="25"/>
      <c r="CF288" s="27"/>
      <c r="CG288" s="27"/>
      <c r="CH288" s="27"/>
      <c r="CI288" s="27"/>
      <c r="CJ288" s="27"/>
      <c r="CK288" s="27"/>
    </row>
    <row r="289" ht="14.25" customHeight="1">
      <c r="A289" s="118"/>
      <c r="B289" s="118"/>
      <c r="C289" s="118"/>
      <c r="D289" s="119"/>
      <c r="E289" s="119"/>
      <c r="F289" s="118"/>
      <c r="G289" s="118"/>
      <c r="H289" s="118"/>
      <c r="I289" s="118"/>
      <c r="AF289" s="22"/>
      <c r="AG289" s="22"/>
      <c r="AH289" s="22"/>
      <c r="AI289" s="22"/>
      <c r="AJ289" s="22"/>
      <c r="AK289" s="23"/>
      <c r="AN289" s="24"/>
      <c r="AO289" s="24"/>
      <c r="AX289" s="25"/>
      <c r="BR289" s="25"/>
      <c r="CF289" s="27"/>
      <c r="CG289" s="27"/>
      <c r="CH289" s="27"/>
      <c r="CI289" s="27"/>
      <c r="CJ289" s="27"/>
      <c r="CK289" s="27"/>
    </row>
    <row r="290" ht="14.25" customHeight="1">
      <c r="A290" s="118"/>
      <c r="B290" s="118"/>
      <c r="C290" s="118"/>
      <c r="D290" s="119"/>
      <c r="E290" s="119"/>
      <c r="F290" s="118"/>
      <c r="G290" s="118"/>
      <c r="H290" s="118"/>
      <c r="I290" s="118"/>
      <c r="AF290" s="22"/>
      <c r="AG290" s="22"/>
      <c r="AH290" s="22"/>
      <c r="AI290" s="22"/>
      <c r="AJ290" s="22"/>
      <c r="AK290" s="23"/>
      <c r="AN290" s="24"/>
      <c r="AO290" s="24"/>
      <c r="AX290" s="25"/>
      <c r="BR290" s="25"/>
      <c r="CF290" s="27"/>
      <c r="CG290" s="27"/>
      <c r="CH290" s="27"/>
      <c r="CI290" s="27"/>
      <c r="CJ290" s="27"/>
      <c r="CK290" s="27"/>
    </row>
    <row r="291" ht="14.25" customHeight="1">
      <c r="A291" s="118"/>
      <c r="B291" s="118"/>
      <c r="C291" s="118"/>
      <c r="D291" s="119"/>
      <c r="E291" s="119"/>
      <c r="F291" s="118"/>
      <c r="G291" s="118"/>
      <c r="H291" s="118"/>
      <c r="I291" s="118"/>
      <c r="AF291" s="22"/>
      <c r="AG291" s="22"/>
      <c r="AH291" s="22"/>
      <c r="AI291" s="22"/>
      <c r="AJ291" s="22"/>
      <c r="AK291" s="23"/>
      <c r="AN291" s="24"/>
      <c r="AO291" s="24"/>
      <c r="AX291" s="25"/>
      <c r="BR291" s="25"/>
      <c r="CF291" s="27"/>
      <c r="CG291" s="27"/>
      <c r="CH291" s="27"/>
      <c r="CI291" s="27"/>
      <c r="CJ291" s="27"/>
      <c r="CK291" s="27"/>
    </row>
    <row r="292" ht="14.25" customHeight="1">
      <c r="A292" s="118"/>
      <c r="B292" s="118"/>
      <c r="C292" s="118"/>
      <c r="D292" s="119"/>
      <c r="E292" s="119"/>
      <c r="F292" s="118"/>
      <c r="G292" s="118"/>
      <c r="H292" s="118"/>
      <c r="I292" s="118"/>
      <c r="AF292" s="22"/>
      <c r="AG292" s="22"/>
      <c r="AH292" s="22"/>
      <c r="AI292" s="22"/>
      <c r="AJ292" s="22"/>
      <c r="AK292" s="23"/>
      <c r="AN292" s="24"/>
      <c r="AO292" s="24"/>
      <c r="AX292" s="25"/>
      <c r="BR292" s="25"/>
      <c r="CF292" s="27"/>
      <c r="CG292" s="27"/>
      <c r="CH292" s="27"/>
      <c r="CI292" s="27"/>
      <c r="CJ292" s="27"/>
      <c r="CK292" s="27"/>
    </row>
    <row r="293" ht="14.25" customHeight="1">
      <c r="A293" s="118"/>
      <c r="B293" s="118"/>
      <c r="C293" s="118"/>
      <c r="D293" s="119"/>
      <c r="E293" s="119"/>
      <c r="F293" s="118"/>
      <c r="G293" s="118"/>
      <c r="H293" s="118"/>
      <c r="I293" s="118"/>
      <c r="AF293" s="22"/>
      <c r="AG293" s="22"/>
      <c r="AH293" s="22"/>
      <c r="AI293" s="22"/>
      <c r="AJ293" s="22"/>
      <c r="AK293" s="23"/>
      <c r="AN293" s="24"/>
      <c r="AO293" s="24"/>
      <c r="AX293" s="25"/>
      <c r="BR293" s="25"/>
      <c r="CF293" s="27"/>
      <c r="CG293" s="27"/>
      <c r="CH293" s="27"/>
      <c r="CI293" s="27"/>
      <c r="CJ293" s="27"/>
      <c r="CK293" s="27"/>
    </row>
    <row r="294" ht="14.25" customHeight="1">
      <c r="A294" s="118"/>
      <c r="B294" s="118"/>
      <c r="C294" s="118"/>
      <c r="D294" s="119"/>
      <c r="E294" s="119"/>
      <c r="F294" s="118"/>
      <c r="G294" s="118"/>
      <c r="H294" s="118"/>
      <c r="I294" s="118"/>
      <c r="AF294" s="22"/>
      <c r="AG294" s="22"/>
      <c r="AH294" s="22"/>
      <c r="AI294" s="22"/>
      <c r="AJ294" s="22"/>
      <c r="AK294" s="23"/>
      <c r="AN294" s="24"/>
      <c r="AO294" s="24"/>
      <c r="AX294" s="25"/>
      <c r="BR294" s="25"/>
      <c r="CF294" s="27"/>
      <c r="CG294" s="27"/>
      <c r="CH294" s="27"/>
      <c r="CI294" s="27"/>
      <c r="CJ294" s="27"/>
      <c r="CK294" s="27"/>
    </row>
    <row r="295" ht="14.25" customHeight="1">
      <c r="A295" s="118"/>
      <c r="B295" s="118"/>
      <c r="C295" s="118"/>
      <c r="D295" s="119"/>
      <c r="E295" s="119"/>
      <c r="F295" s="118"/>
      <c r="G295" s="118"/>
      <c r="H295" s="118"/>
      <c r="I295" s="118"/>
      <c r="AF295" s="22"/>
      <c r="AG295" s="22"/>
      <c r="AH295" s="22"/>
      <c r="AI295" s="22"/>
      <c r="AJ295" s="22"/>
      <c r="AK295" s="23"/>
      <c r="AN295" s="24"/>
      <c r="AO295" s="24"/>
      <c r="AX295" s="25"/>
      <c r="BR295" s="25"/>
      <c r="CF295" s="27"/>
      <c r="CG295" s="27"/>
      <c r="CH295" s="27"/>
      <c r="CI295" s="27"/>
      <c r="CJ295" s="27"/>
      <c r="CK295" s="27"/>
    </row>
    <row r="296" ht="14.25" customHeight="1">
      <c r="A296" s="118"/>
      <c r="B296" s="118"/>
      <c r="C296" s="118"/>
      <c r="D296" s="119"/>
      <c r="E296" s="119"/>
      <c r="F296" s="118"/>
      <c r="G296" s="118"/>
      <c r="H296" s="118"/>
      <c r="I296" s="118"/>
      <c r="AF296" s="22"/>
      <c r="AG296" s="22"/>
      <c r="AH296" s="22"/>
      <c r="AI296" s="22"/>
      <c r="AJ296" s="22"/>
      <c r="AK296" s="23"/>
      <c r="AN296" s="24"/>
      <c r="AO296" s="24"/>
      <c r="AX296" s="25"/>
      <c r="BR296" s="25"/>
      <c r="CF296" s="27"/>
      <c r="CG296" s="27"/>
      <c r="CH296" s="27"/>
      <c r="CI296" s="27"/>
      <c r="CJ296" s="27"/>
      <c r="CK296" s="27"/>
    </row>
    <row r="297" ht="14.25" customHeight="1">
      <c r="A297" s="118"/>
      <c r="B297" s="118"/>
      <c r="C297" s="118"/>
      <c r="D297" s="119"/>
      <c r="E297" s="119"/>
      <c r="F297" s="118"/>
      <c r="G297" s="118"/>
      <c r="H297" s="118"/>
      <c r="I297" s="118"/>
      <c r="AF297" s="22"/>
      <c r="AG297" s="22"/>
      <c r="AH297" s="22"/>
      <c r="AI297" s="22"/>
      <c r="AJ297" s="22"/>
      <c r="AK297" s="23"/>
      <c r="AN297" s="24"/>
      <c r="AO297" s="24"/>
      <c r="AX297" s="25"/>
      <c r="BR297" s="25"/>
      <c r="CF297" s="27"/>
      <c r="CG297" s="27"/>
      <c r="CH297" s="27"/>
      <c r="CI297" s="27"/>
      <c r="CJ297" s="27"/>
      <c r="CK297" s="27"/>
    </row>
    <row r="298" ht="14.25" customHeight="1">
      <c r="A298" s="118"/>
      <c r="B298" s="118"/>
      <c r="C298" s="118"/>
      <c r="D298" s="119"/>
      <c r="E298" s="119"/>
      <c r="F298" s="118"/>
      <c r="G298" s="118"/>
      <c r="H298" s="118"/>
      <c r="I298" s="118"/>
      <c r="AF298" s="22"/>
      <c r="AG298" s="22"/>
      <c r="AH298" s="22"/>
      <c r="AI298" s="22"/>
      <c r="AJ298" s="22"/>
      <c r="AK298" s="23"/>
      <c r="AN298" s="24"/>
      <c r="AO298" s="24"/>
      <c r="AX298" s="25"/>
      <c r="BR298" s="25"/>
      <c r="CF298" s="27"/>
      <c r="CG298" s="27"/>
      <c r="CH298" s="27"/>
      <c r="CI298" s="27"/>
      <c r="CJ298" s="27"/>
      <c r="CK298" s="27"/>
    </row>
    <row r="299" ht="14.25" customHeight="1">
      <c r="A299" s="118"/>
      <c r="B299" s="118"/>
      <c r="C299" s="118"/>
      <c r="D299" s="119"/>
      <c r="E299" s="119"/>
      <c r="F299" s="118"/>
      <c r="G299" s="118"/>
      <c r="H299" s="118"/>
      <c r="I299" s="118"/>
      <c r="AF299" s="22"/>
      <c r="AG299" s="22"/>
      <c r="AH299" s="22"/>
      <c r="AI299" s="22"/>
      <c r="AJ299" s="22"/>
      <c r="AK299" s="23"/>
      <c r="AN299" s="24"/>
      <c r="AO299" s="24"/>
      <c r="AX299" s="25"/>
      <c r="BR299" s="25"/>
      <c r="CF299" s="27"/>
      <c r="CG299" s="27"/>
      <c r="CH299" s="27"/>
      <c r="CI299" s="27"/>
      <c r="CJ299" s="27"/>
      <c r="CK299" s="27"/>
    </row>
    <row r="300" ht="14.25" customHeight="1">
      <c r="A300" s="118"/>
      <c r="B300" s="118"/>
      <c r="C300" s="118"/>
      <c r="D300" s="119"/>
      <c r="E300" s="119"/>
      <c r="F300" s="118"/>
      <c r="G300" s="118"/>
      <c r="H300" s="118"/>
      <c r="I300" s="118"/>
      <c r="AF300" s="22"/>
      <c r="AG300" s="22"/>
      <c r="AH300" s="22"/>
      <c r="AI300" s="22"/>
      <c r="AJ300" s="22"/>
      <c r="AK300" s="23"/>
      <c r="AN300" s="24"/>
      <c r="AO300" s="24"/>
      <c r="AX300" s="25"/>
      <c r="BR300" s="25"/>
      <c r="CF300" s="27"/>
      <c r="CG300" s="27"/>
      <c r="CH300" s="27"/>
      <c r="CI300" s="27"/>
      <c r="CJ300" s="27"/>
      <c r="CK300" s="27"/>
    </row>
    <row r="301" ht="14.25" customHeight="1">
      <c r="A301" s="118"/>
      <c r="B301" s="118"/>
      <c r="C301" s="118"/>
      <c r="D301" s="119"/>
      <c r="E301" s="119"/>
      <c r="F301" s="118"/>
      <c r="G301" s="118"/>
      <c r="H301" s="118"/>
      <c r="I301" s="118"/>
      <c r="AF301" s="22"/>
      <c r="AG301" s="22"/>
      <c r="AH301" s="22"/>
      <c r="AI301" s="22"/>
      <c r="AJ301" s="22"/>
      <c r="AK301" s="23"/>
      <c r="AN301" s="24"/>
      <c r="AO301" s="24"/>
      <c r="AX301" s="25"/>
      <c r="BR301" s="25"/>
      <c r="CF301" s="27"/>
      <c r="CG301" s="27"/>
      <c r="CH301" s="27"/>
      <c r="CI301" s="27"/>
      <c r="CJ301" s="27"/>
      <c r="CK301" s="27"/>
    </row>
    <row r="302" ht="14.25" customHeight="1">
      <c r="A302" s="118"/>
      <c r="B302" s="118"/>
      <c r="C302" s="118"/>
      <c r="D302" s="119"/>
      <c r="E302" s="119"/>
      <c r="F302" s="118"/>
      <c r="G302" s="118"/>
      <c r="H302" s="118"/>
      <c r="I302" s="118"/>
      <c r="AF302" s="22"/>
      <c r="AG302" s="22"/>
      <c r="AH302" s="22"/>
      <c r="AI302" s="22"/>
      <c r="AJ302" s="22"/>
      <c r="AK302" s="23"/>
      <c r="AN302" s="24"/>
      <c r="AO302" s="24"/>
      <c r="AX302" s="25"/>
      <c r="BR302" s="25"/>
      <c r="CF302" s="27"/>
      <c r="CG302" s="27"/>
      <c r="CH302" s="27"/>
      <c r="CI302" s="27"/>
      <c r="CJ302" s="27"/>
      <c r="CK302" s="27"/>
    </row>
    <row r="303" ht="14.25" customHeight="1">
      <c r="A303" s="118"/>
      <c r="B303" s="118"/>
      <c r="C303" s="118"/>
      <c r="D303" s="119"/>
      <c r="E303" s="119"/>
      <c r="F303" s="118"/>
      <c r="G303" s="118"/>
      <c r="H303" s="118"/>
      <c r="I303" s="118"/>
      <c r="AF303" s="22"/>
      <c r="AG303" s="22"/>
      <c r="AH303" s="22"/>
      <c r="AI303" s="22"/>
      <c r="AJ303" s="22"/>
      <c r="AK303" s="23"/>
      <c r="AN303" s="24"/>
      <c r="AO303" s="24"/>
      <c r="AX303" s="25"/>
      <c r="BR303" s="25"/>
      <c r="CF303" s="27"/>
      <c r="CG303" s="27"/>
      <c r="CH303" s="27"/>
      <c r="CI303" s="27"/>
      <c r="CJ303" s="27"/>
      <c r="CK303" s="27"/>
    </row>
    <row r="304" ht="14.25" customHeight="1">
      <c r="A304" s="118"/>
      <c r="B304" s="118"/>
      <c r="C304" s="118"/>
      <c r="D304" s="119"/>
      <c r="E304" s="119"/>
      <c r="F304" s="118"/>
      <c r="G304" s="118"/>
      <c r="H304" s="118"/>
      <c r="I304" s="118"/>
      <c r="AF304" s="22"/>
      <c r="AG304" s="22"/>
      <c r="AH304" s="22"/>
      <c r="AI304" s="22"/>
      <c r="AJ304" s="22"/>
      <c r="AK304" s="23"/>
      <c r="AN304" s="24"/>
      <c r="AO304" s="24"/>
      <c r="AX304" s="25"/>
      <c r="BR304" s="25"/>
      <c r="CF304" s="27"/>
      <c r="CG304" s="27"/>
      <c r="CH304" s="27"/>
      <c r="CI304" s="27"/>
      <c r="CJ304" s="27"/>
      <c r="CK304" s="27"/>
    </row>
    <row r="305" ht="14.25" customHeight="1">
      <c r="A305" s="118"/>
      <c r="B305" s="118"/>
      <c r="C305" s="118"/>
      <c r="D305" s="119"/>
      <c r="E305" s="119"/>
      <c r="F305" s="118"/>
      <c r="G305" s="118"/>
      <c r="H305" s="118"/>
      <c r="I305" s="118"/>
      <c r="AF305" s="22"/>
      <c r="AG305" s="22"/>
      <c r="AH305" s="22"/>
      <c r="AI305" s="22"/>
      <c r="AJ305" s="22"/>
      <c r="AK305" s="23"/>
      <c r="AN305" s="24"/>
      <c r="AO305" s="24"/>
      <c r="AX305" s="25"/>
      <c r="BR305" s="25"/>
      <c r="CF305" s="27"/>
      <c r="CG305" s="27"/>
      <c r="CH305" s="27"/>
      <c r="CI305" s="27"/>
      <c r="CJ305" s="27"/>
      <c r="CK305" s="27"/>
    </row>
    <row r="306" ht="14.25" customHeight="1">
      <c r="A306" s="118"/>
      <c r="B306" s="118"/>
      <c r="C306" s="118"/>
      <c r="D306" s="119"/>
      <c r="E306" s="119"/>
      <c r="F306" s="118"/>
      <c r="G306" s="118"/>
      <c r="H306" s="118"/>
      <c r="I306" s="118"/>
      <c r="AF306" s="22"/>
      <c r="AG306" s="22"/>
      <c r="AH306" s="22"/>
      <c r="AI306" s="22"/>
      <c r="AJ306" s="22"/>
      <c r="AK306" s="23"/>
      <c r="AN306" s="24"/>
      <c r="AO306" s="24"/>
      <c r="AX306" s="25"/>
      <c r="BR306" s="25"/>
      <c r="CF306" s="27"/>
      <c r="CG306" s="27"/>
      <c r="CH306" s="27"/>
      <c r="CI306" s="27"/>
      <c r="CJ306" s="27"/>
      <c r="CK306" s="27"/>
    </row>
    <row r="307" ht="14.25" customHeight="1">
      <c r="A307" s="118"/>
      <c r="B307" s="118"/>
      <c r="C307" s="118"/>
      <c r="D307" s="119"/>
      <c r="E307" s="119"/>
      <c r="F307" s="118"/>
      <c r="G307" s="118"/>
      <c r="H307" s="118"/>
      <c r="I307" s="118"/>
      <c r="AF307" s="22"/>
      <c r="AG307" s="22"/>
      <c r="AH307" s="22"/>
      <c r="AI307" s="22"/>
      <c r="AJ307" s="22"/>
      <c r="AK307" s="23"/>
      <c r="AN307" s="24"/>
      <c r="AO307" s="24"/>
      <c r="AX307" s="25"/>
      <c r="BR307" s="25"/>
      <c r="CF307" s="27"/>
      <c r="CG307" s="27"/>
      <c r="CH307" s="27"/>
      <c r="CI307" s="27"/>
      <c r="CJ307" s="27"/>
      <c r="CK307" s="27"/>
    </row>
    <row r="308" ht="14.25" customHeight="1">
      <c r="A308" s="118"/>
      <c r="B308" s="118"/>
      <c r="C308" s="118"/>
      <c r="D308" s="119"/>
      <c r="E308" s="119"/>
      <c r="F308" s="118"/>
      <c r="G308" s="118"/>
      <c r="H308" s="118"/>
      <c r="I308" s="118"/>
      <c r="AF308" s="22"/>
      <c r="AG308" s="22"/>
      <c r="AH308" s="22"/>
      <c r="AI308" s="22"/>
      <c r="AJ308" s="22"/>
      <c r="AK308" s="23"/>
      <c r="AN308" s="24"/>
      <c r="AO308" s="24"/>
      <c r="AX308" s="25"/>
      <c r="BR308" s="25"/>
      <c r="CF308" s="27"/>
      <c r="CG308" s="27"/>
      <c r="CH308" s="27"/>
      <c r="CI308" s="27"/>
      <c r="CJ308" s="27"/>
      <c r="CK308" s="27"/>
    </row>
    <row r="309" ht="14.25" customHeight="1">
      <c r="A309" s="118"/>
      <c r="B309" s="118"/>
      <c r="C309" s="118"/>
      <c r="D309" s="119"/>
      <c r="E309" s="119"/>
      <c r="F309" s="118"/>
      <c r="G309" s="118"/>
      <c r="H309" s="118"/>
      <c r="I309" s="118"/>
      <c r="AF309" s="22"/>
      <c r="AG309" s="22"/>
      <c r="AH309" s="22"/>
      <c r="AI309" s="22"/>
      <c r="AJ309" s="22"/>
      <c r="AK309" s="23"/>
      <c r="AN309" s="24"/>
      <c r="AO309" s="24"/>
      <c r="AX309" s="25"/>
      <c r="BR309" s="25"/>
      <c r="CF309" s="27"/>
      <c r="CG309" s="27"/>
      <c r="CH309" s="27"/>
      <c r="CI309" s="27"/>
      <c r="CJ309" s="27"/>
      <c r="CK309" s="27"/>
    </row>
    <row r="310" ht="14.25" customHeight="1">
      <c r="A310" s="118"/>
      <c r="B310" s="118"/>
      <c r="C310" s="118"/>
      <c r="D310" s="119"/>
      <c r="E310" s="119"/>
      <c r="F310" s="118"/>
      <c r="G310" s="118"/>
      <c r="H310" s="118"/>
      <c r="I310" s="118"/>
      <c r="AF310" s="22"/>
      <c r="AG310" s="22"/>
      <c r="AH310" s="22"/>
      <c r="AI310" s="22"/>
      <c r="AJ310" s="22"/>
      <c r="AK310" s="23"/>
      <c r="AN310" s="24"/>
      <c r="AO310" s="24"/>
      <c r="AX310" s="25"/>
      <c r="BR310" s="25"/>
      <c r="CF310" s="27"/>
      <c r="CG310" s="27"/>
      <c r="CH310" s="27"/>
      <c r="CI310" s="27"/>
      <c r="CJ310" s="27"/>
      <c r="CK310" s="27"/>
    </row>
    <row r="311" ht="14.25" customHeight="1">
      <c r="A311" s="118"/>
      <c r="B311" s="118"/>
      <c r="C311" s="118"/>
      <c r="D311" s="119"/>
      <c r="E311" s="119"/>
      <c r="F311" s="118"/>
      <c r="G311" s="118"/>
      <c r="H311" s="118"/>
      <c r="I311" s="118"/>
      <c r="AF311" s="22"/>
      <c r="AG311" s="22"/>
      <c r="AH311" s="22"/>
      <c r="AI311" s="22"/>
      <c r="AJ311" s="22"/>
      <c r="AK311" s="23"/>
      <c r="AN311" s="24"/>
      <c r="AO311" s="24"/>
      <c r="AX311" s="25"/>
      <c r="BR311" s="25"/>
      <c r="CF311" s="27"/>
      <c r="CG311" s="27"/>
      <c r="CH311" s="27"/>
      <c r="CI311" s="27"/>
      <c r="CJ311" s="27"/>
      <c r="CK311" s="27"/>
    </row>
    <row r="312" ht="14.25" customHeight="1">
      <c r="A312" s="118"/>
      <c r="B312" s="118"/>
      <c r="C312" s="118"/>
      <c r="D312" s="119"/>
      <c r="E312" s="119"/>
      <c r="F312" s="118"/>
      <c r="G312" s="118"/>
      <c r="H312" s="118"/>
      <c r="I312" s="118"/>
      <c r="AF312" s="22"/>
      <c r="AG312" s="22"/>
      <c r="AH312" s="22"/>
      <c r="AI312" s="22"/>
      <c r="AJ312" s="22"/>
      <c r="AK312" s="23"/>
      <c r="AN312" s="24"/>
      <c r="AO312" s="24"/>
      <c r="AX312" s="25"/>
      <c r="BR312" s="25"/>
      <c r="CF312" s="27"/>
      <c r="CG312" s="27"/>
      <c r="CH312" s="27"/>
      <c r="CI312" s="27"/>
      <c r="CJ312" s="27"/>
      <c r="CK312" s="27"/>
    </row>
    <row r="313" ht="14.25" customHeight="1">
      <c r="A313" s="118"/>
      <c r="B313" s="118"/>
      <c r="C313" s="118"/>
      <c r="D313" s="119"/>
      <c r="E313" s="119"/>
      <c r="F313" s="118"/>
      <c r="G313" s="118"/>
      <c r="H313" s="118"/>
      <c r="I313" s="118"/>
      <c r="AF313" s="22"/>
      <c r="AG313" s="22"/>
      <c r="AH313" s="22"/>
      <c r="AI313" s="22"/>
      <c r="AJ313" s="22"/>
      <c r="AK313" s="23"/>
      <c r="AN313" s="24"/>
      <c r="AO313" s="24"/>
      <c r="AX313" s="25"/>
      <c r="BR313" s="25"/>
      <c r="CF313" s="27"/>
      <c r="CG313" s="27"/>
      <c r="CH313" s="27"/>
      <c r="CI313" s="27"/>
      <c r="CJ313" s="27"/>
      <c r="CK313" s="27"/>
    </row>
    <row r="314" ht="14.25" customHeight="1">
      <c r="A314" s="118"/>
      <c r="B314" s="118"/>
      <c r="C314" s="118"/>
      <c r="D314" s="119"/>
      <c r="E314" s="119"/>
      <c r="F314" s="118"/>
      <c r="G314" s="118"/>
      <c r="H314" s="118"/>
      <c r="I314" s="118"/>
      <c r="AF314" s="22"/>
      <c r="AG314" s="22"/>
      <c r="AH314" s="22"/>
      <c r="AI314" s="22"/>
      <c r="AJ314" s="22"/>
      <c r="AK314" s="23"/>
      <c r="AN314" s="24"/>
      <c r="AO314" s="24"/>
      <c r="AX314" s="25"/>
      <c r="BR314" s="25"/>
      <c r="CF314" s="27"/>
      <c r="CG314" s="27"/>
      <c r="CH314" s="27"/>
      <c r="CI314" s="27"/>
      <c r="CJ314" s="27"/>
      <c r="CK314" s="27"/>
    </row>
    <row r="315" ht="14.25" customHeight="1">
      <c r="A315" s="118"/>
      <c r="B315" s="118"/>
      <c r="C315" s="118"/>
      <c r="D315" s="119"/>
      <c r="E315" s="119"/>
      <c r="F315" s="118"/>
      <c r="G315" s="118"/>
      <c r="H315" s="118"/>
      <c r="I315" s="118"/>
      <c r="AF315" s="22"/>
      <c r="AG315" s="22"/>
      <c r="AH315" s="22"/>
      <c r="AI315" s="22"/>
      <c r="AJ315" s="22"/>
      <c r="AK315" s="23"/>
      <c r="AN315" s="24"/>
      <c r="AO315" s="24"/>
      <c r="AX315" s="25"/>
      <c r="BR315" s="25"/>
      <c r="CF315" s="27"/>
      <c r="CG315" s="27"/>
      <c r="CH315" s="27"/>
      <c r="CI315" s="27"/>
      <c r="CJ315" s="27"/>
      <c r="CK315" s="27"/>
    </row>
    <row r="316" ht="14.25" customHeight="1">
      <c r="A316" s="118"/>
      <c r="B316" s="118"/>
      <c r="C316" s="118"/>
      <c r="D316" s="119"/>
      <c r="E316" s="119"/>
      <c r="F316" s="118"/>
      <c r="G316" s="118"/>
      <c r="H316" s="118"/>
      <c r="I316" s="118"/>
      <c r="AF316" s="22"/>
      <c r="AG316" s="22"/>
      <c r="AH316" s="22"/>
      <c r="AI316" s="22"/>
      <c r="AJ316" s="22"/>
      <c r="AK316" s="23"/>
      <c r="AN316" s="24"/>
      <c r="AO316" s="24"/>
      <c r="AX316" s="25"/>
      <c r="BR316" s="25"/>
      <c r="CF316" s="27"/>
      <c r="CG316" s="27"/>
      <c r="CH316" s="27"/>
      <c r="CI316" s="27"/>
      <c r="CJ316" s="27"/>
      <c r="CK316" s="27"/>
    </row>
    <row r="317" ht="14.25" customHeight="1">
      <c r="A317" s="118"/>
      <c r="B317" s="118"/>
      <c r="C317" s="118"/>
      <c r="D317" s="119"/>
      <c r="E317" s="119"/>
      <c r="F317" s="118"/>
      <c r="G317" s="118"/>
      <c r="H317" s="118"/>
      <c r="I317" s="118"/>
      <c r="AF317" s="22"/>
      <c r="AG317" s="22"/>
      <c r="AH317" s="22"/>
      <c r="AI317" s="22"/>
      <c r="AJ317" s="22"/>
      <c r="AK317" s="23"/>
      <c r="AN317" s="24"/>
      <c r="AO317" s="24"/>
      <c r="AX317" s="25"/>
      <c r="BR317" s="25"/>
      <c r="CF317" s="27"/>
      <c r="CG317" s="27"/>
      <c r="CH317" s="27"/>
      <c r="CI317" s="27"/>
      <c r="CJ317" s="27"/>
      <c r="CK317" s="27"/>
    </row>
    <row r="318" ht="14.25" customHeight="1">
      <c r="A318" s="118"/>
      <c r="B318" s="118"/>
      <c r="C318" s="118"/>
      <c r="D318" s="119"/>
      <c r="E318" s="119"/>
      <c r="F318" s="118"/>
      <c r="G318" s="118"/>
      <c r="H318" s="118"/>
      <c r="I318" s="118"/>
      <c r="AF318" s="22"/>
      <c r="AG318" s="22"/>
      <c r="AH318" s="22"/>
      <c r="AI318" s="22"/>
      <c r="AJ318" s="22"/>
      <c r="AK318" s="23"/>
      <c r="AN318" s="24"/>
      <c r="AO318" s="24"/>
      <c r="AX318" s="25"/>
      <c r="BR318" s="25"/>
      <c r="CF318" s="27"/>
      <c r="CG318" s="27"/>
      <c r="CH318" s="27"/>
      <c r="CI318" s="27"/>
      <c r="CJ318" s="27"/>
      <c r="CK318" s="27"/>
    </row>
    <row r="319" ht="14.25" customHeight="1">
      <c r="A319" s="118"/>
      <c r="B319" s="118"/>
      <c r="C319" s="118"/>
      <c r="D319" s="119"/>
      <c r="E319" s="119"/>
      <c r="F319" s="118"/>
      <c r="G319" s="118"/>
      <c r="H319" s="118"/>
      <c r="I319" s="118"/>
      <c r="AF319" s="22"/>
      <c r="AG319" s="22"/>
      <c r="AH319" s="22"/>
      <c r="AI319" s="22"/>
      <c r="AJ319" s="22"/>
      <c r="AK319" s="23"/>
      <c r="AN319" s="24"/>
      <c r="AO319" s="24"/>
      <c r="AX319" s="25"/>
      <c r="BR319" s="25"/>
      <c r="CF319" s="27"/>
      <c r="CG319" s="27"/>
      <c r="CH319" s="27"/>
      <c r="CI319" s="27"/>
      <c r="CJ319" s="27"/>
      <c r="CK319" s="27"/>
    </row>
    <row r="320" ht="14.25" customHeight="1">
      <c r="A320" s="118"/>
      <c r="B320" s="118"/>
      <c r="C320" s="118"/>
      <c r="D320" s="119"/>
      <c r="E320" s="119"/>
      <c r="F320" s="118"/>
      <c r="G320" s="118"/>
      <c r="H320" s="118"/>
      <c r="I320" s="118"/>
      <c r="AF320" s="22"/>
      <c r="AG320" s="22"/>
      <c r="AH320" s="22"/>
      <c r="AI320" s="22"/>
      <c r="AJ320" s="22"/>
      <c r="AK320" s="23"/>
      <c r="AN320" s="24"/>
      <c r="AO320" s="24"/>
      <c r="AX320" s="25"/>
      <c r="BR320" s="25"/>
      <c r="CF320" s="27"/>
      <c r="CG320" s="27"/>
      <c r="CH320" s="27"/>
      <c r="CI320" s="27"/>
      <c r="CJ320" s="27"/>
      <c r="CK320" s="27"/>
    </row>
    <row r="321" ht="14.25" customHeight="1">
      <c r="A321" s="118"/>
      <c r="B321" s="118"/>
      <c r="C321" s="118"/>
      <c r="D321" s="119"/>
      <c r="E321" s="119"/>
      <c r="F321" s="118"/>
      <c r="G321" s="118"/>
      <c r="H321" s="118"/>
      <c r="I321" s="118"/>
      <c r="AF321" s="22"/>
      <c r="AG321" s="22"/>
      <c r="AH321" s="22"/>
      <c r="AI321" s="22"/>
      <c r="AJ321" s="22"/>
      <c r="AK321" s="23"/>
      <c r="AN321" s="24"/>
      <c r="AO321" s="24"/>
      <c r="AX321" s="25"/>
      <c r="BR321" s="25"/>
      <c r="CF321" s="27"/>
      <c r="CG321" s="27"/>
      <c r="CH321" s="27"/>
      <c r="CI321" s="27"/>
      <c r="CJ321" s="27"/>
      <c r="CK321" s="27"/>
    </row>
    <row r="322" ht="14.25" customHeight="1">
      <c r="A322" s="118"/>
      <c r="B322" s="118"/>
      <c r="C322" s="118"/>
      <c r="D322" s="119"/>
      <c r="E322" s="119"/>
      <c r="F322" s="118"/>
      <c r="G322" s="118"/>
      <c r="H322" s="118"/>
      <c r="I322" s="118"/>
      <c r="AF322" s="22"/>
      <c r="AG322" s="22"/>
      <c r="AH322" s="22"/>
      <c r="AI322" s="22"/>
      <c r="AJ322" s="22"/>
      <c r="AK322" s="23"/>
      <c r="AN322" s="24"/>
      <c r="AO322" s="24"/>
      <c r="AX322" s="25"/>
      <c r="BR322" s="25"/>
      <c r="CF322" s="27"/>
      <c r="CG322" s="27"/>
      <c r="CH322" s="27"/>
      <c r="CI322" s="27"/>
      <c r="CJ322" s="27"/>
      <c r="CK322" s="27"/>
    </row>
    <row r="323" ht="14.25" customHeight="1">
      <c r="A323" s="118"/>
      <c r="B323" s="118"/>
      <c r="C323" s="118"/>
      <c r="D323" s="119"/>
      <c r="E323" s="119"/>
      <c r="F323" s="118"/>
      <c r="G323" s="118"/>
      <c r="H323" s="118"/>
      <c r="I323" s="118"/>
      <c r="AF323" s="22"/>
      <c r="AG323" s="22"/>
      <c r="AH323" s="22"/>
      <c r="AI323" s="22"/>
      <c r="AJ323" s="22"/>
      <c r="AK323" s="23"/>
      <c r="AN323" s="24"/>
      <c r="AO323" s="24"/>
      <c r="AX323" s="25"/>
      <c r="BR323" s="25"/>
      <c r="CF323" s="27"/>
      <c r="CG323" s="27"/>
      <c r="CH323" s="27"/>
      <c r="CI323" s="27"/>
      <c r="CJ323" s="27"/>
      <c r="CK323" s="27"/>
    </row>
    <row r="324" ht="14.25" customHeight="1">
      <c r="A324" s="118"/>
      <c r="B324" s="118"/>
      <c r="C324" s="118"/>
      <c r="D324" s="119"/>
      <c r="E324" s="119"/>
      <c r="F324" s="118"/>
      <c r="G324" s="118"/>
      <c r="H324" s="118"/>
      <c r="I324" s="118"/>
      <c r="AF324" s="22"/>
      <c r="AG324" s="22"/>
      <c r="AH324" s="22"/>
      <c r="AI324" s="22"/>
      <c r="AJ324" s="22"/>
      <c r="AK324" s="23"/>
      <c r="AN324" s="24"/>
      <c r="AO324" s="24"/>
      <c r="AX324" s="25"/>
      <c r="BR324" s="25"/>
      <c r="CF324" s="27"/>
      <c r="CG324" s="27"/>
      <c r="CH324" s="27"/>
      <c r="CI324" s="27"/>
      <c r="CJ324" s="27"/>
      <c r="CK324" s="27"/>
    </row>
    <row r="325" ht="14.25" customHeight="1">
      <c r="A325" s="118"/>
      <c r="B325" s="118"/>
      <c r="C325" s="118"/>
      <c r="D325" s="119"/>
      <c r="E325" s="119"/>
      <c r="F325" s="118"/>
      <c r="G325" s="118"/>
      <c r="H325" s="118"/>
      <c r="I325" s="118"/>
      <c r="AF325" s="22"/>
      <c r="AG325" s="22"/>
      <c r="AH325" s="22"/>
      <c r="AI325" s="22"/>
      <c r="AJ325" s="22"/>
      <c r="AK325" s="23"/>
      <c r="AN325" s="24"/>
      <c r="AO325" s="24"/>
      <c r="AX325" s="25"/>
      <c r="BR325" s="25"/>
      <c r="CF325" s="27"/>
      <c r="CG325" s="27"/>
      <c r="CH325" s="27"/>
      <c r="CI325" s="27"/>
      <c r="CJ325" s="27"/>
      <c r="CK325" s="27"/>
    </row>
    <row r="326" ht="14.25" customHeight="1">
      <c r="A326" s="118"/>
      <c r="B326" s="118"/>
      <c r="C326" s="118"/>
      <c r="D326" s="119"/>
      <c r="E326" s="119"/>
      <c r="F326" s="118"/>
      <c r="G326" s="118"/>
      <c r="H326" s="118"/>
      <c r="I326" s="118"/>
      <c r="AF326" s="22"/>
      <c r="AG326" s="22"/>
      <c r="AH326" s="22"/>
      <c r="AI326" s="22"/>
      <c r="AJ326" s="22"/>
      <c r="AK326" s="23"/>
      <c r="AN326" s="24"/>
      <c r="AO326" s="24"/>
      <c r="AX326" s="25"/>
      <c r="BR326" s="25"/>
      <c r="CF326" s="27"/>
      <c r="CG326" s="27"/>
      <c r="CH326" s="27"/>
      <c r="CI326" s="27"/>
      <c r="CJ326" s="27"/>
      <c r="CK326" s="27"/>
    </row>
    <row r="327" ht="14.25" customHeight="1">
      <c r="A327" s="118"/>
      <c r="B327" s="118"/>
      <c r="C327" s="118"/>
      <c r="D327" s="119"/>
      <c r="E327" s="119"/>
      <c r="F327" s="118"/>
      <c r="G327" s="118"/>
      <c r="H327" s="118"/>
      <c r="I327" s="118"/>
      <c r="AF327" s="22"/>
      <c r="AG327" s="22"/>
      <c r="AH327" s="22"/>
      <c r="AI327" s="22"/>
      <c r="AJ327" s="22"/>
      <c r="AK327" s="23"/>
      <c r="AN327" s="24"/>
      <c r="AO327" s="24"/>
      <c r="AX327" s="25"/>
      <c r="BR327" s="25"/>
      <c r="CF327" s="27"/>
      <c r="CG327" s="27"/>
      <c r="CH327" s="27"/>
      <c r="CI327" s="27"/>
      <c r="CJ327" s="27"/>
      <c r="CK327" s="27"/>
    </row>
    <row r="328" ht="14.25" customHeight="1">
      <c r="A328" s="118"/>
      <c r="B328" s="118"/>
      <c r="C328" s="118"/>
      <c r="D328" s="119"/>
      <c r="E328" s="119"/>
      <c r="F328" s="118"/>
      <c r="G328" s="118"/>
      <c r="H328" s="118"/>
      <c r="I328" s="118"/>
      <c r="AF328" s="22"/>
      <c r="AG328" s="22"/>
      <c r="AH328" s="22"/>
      <c r="AI328" s="22"/>
      <c r="AJ328" s="22"/>
      <c r="AK328" s="23"/>
      <c r="AN328" s="24"/>
      <c r="AO328" s="24"/>
      <c r="AX328" s="25"/>
      <c r="BR328" s="25"/>
      <c r="CF328" s="27"/>
      <c r="CG328" s="27"/>
      <c r="CH328" s="27"/>
      <c r="CI328" s="27"/>
      <c r="CJ328" s="27"/>
      <c r="CK328" s="27"/>
    </row>
    <row r="329" ht="14.25" customHeight="1">
      <c r="A329" s="118"/>
      <c r="B329" s="118"/>
      <c r="C329" s="118"/>
      <c r="D329" s="119"/>
      <c r="E329" s="119"/>
      <c r="F329" s="118"/>
      <c r="G329" s="118"/>
      <c r="H329" s="118"/>
      <c r="I329" s="118"/>
      <c r="AF329" s="22"/>
      <c r="AG329" s="22"/>
      <c r="AH329" s="22"/>
      <c r="AI329" s="22"/>
      <c r="AJ329" s="22"/>
      <c r="AK329" s="23"/>
      <c r="AN329" s="24"/>
      <c r="AO329" s="24"/>
      <c r="AX329" s="25"/>
      <c r="BR329" s="25"/>
      <c r="CF329" s="27"/>
      <c r="CG329" s="27"/>
      <c r="CH329" s="27"/>
      <c r="CI329" s="27"/>
      <c r="CJ329" s="27"/>
      <c r="CK329" s="27"/>
    </row>
    <row r="330" ht="14.25" customHeight="1">
      <c r="A330" s="118"/>
      <c r="B330" s="118"/>
      <c r="C330" s="118"/>
      <c r="D330" s="119"/>
      <c r="E330" s="119"/>
      <c r="F330" s="118"/>
      <c r="G330" s="118"/>
      <c r="H330" s="118"/>
      <c r="I330" s="118"/>
      <c r="AF330" s="22"/>
      <c r="AG330" s="22"/>
      <c r="AH330" s="22"/>
      <c r="AI330" s="22"/>
      <c r="AJ330" s="22"/>
      <c r="AK330" s="23"/>
      <c r="AN330" s="24"/>
      <c r="AO330" s="24"/>
      <c r="AX330" s="25"/>
      <c r="BR330" s="25"/>
      <c r="CF330" s="27"/>
      <c r="CG330" s="27"/>
      <c r="CH330" s="27"/>
      <c r="CI330" s="27"/>
      <c r="CJ330" s="27"/>
      <c r="CK330" s="27"/>
    </row>
    <row r="331" ht="14.25" customHeight="1">
      <c r="A331" s="118"/>
      <c r="B331" s="118"/>
      <c r="C331" s="118"/>
      <c r="D331" s="119"/>
      <c r="E331" s="119"/>
      <c r="F331" s="118"/>
      <c r="G331" s="118"/>
      <c r="H331" s="118"/>
      <c r="I331" s="118"/>
      <c r="AF331" s="22"/>
      <c r="AG331" s="22"/>
      <c r="AH331" s="22"/>
      <c r="AI331" s="22"/>
      <c r="AJ331" s="22"/>
      <c r="AK331" s="23"/>
      <c r="AN331" s="24"/>
      <c r="AO331" s="24"/>
      <c r="AX331" s="25"/>
      <c r="BR331" s="25"/>
      <c r="CF331" s="27"/>
      <c r="CG331" s="27"/>
      <c r="CH331" s="27"/>
      <c r="CI331" s="27"/>
      <c r="CJ331" s="27"/>
      <c r="CK331" s="27"/>
    </row>
    <row r="332" ht="14.25" customHeight="1">
      <c r="A332" s="118"/>
      <c r="B332" s="118"/>
      <c r="C332" s="118"/>
      <c r="D332" s="119"/>
      <c r="E332" s="119"/>
      <c r="F332" s="118"/>
      <c r="G332" s="118"/>
      <c r="H332" s="118"/>
      <c r="I332" s="118"/>
      <c r="AF332" s="22"/>
      <c r="AG332" s="22"/>
      <c r="AH332" s="22"/>
      <c r="AI332" s="22"/>
      <c r="AJ332" s="22"/>
      <c r="AK332" s="23"/>
      <c r="AN332" s="24"/>
      <c r="AO332" s="24"/>
      <c r="AX332" s="25"/>
      <c r="BR332" s="25"/>
      <c r="CF332" s="27"/>
      <c r="CG332" s="27"/>
      <c r="CH332" s="27"/>
      <c r="CI332" s="27"/>
      <c r="CJ332" s="27"/>
      <c r="CK332" s="27"/>
    </row>
    <row r="333" ht="14.25" customHeight="1">
      <c r="A333" s="118"/>
      <c r="B333" s="118"/>
      <c r="C333" s="118"/>
      <c r="D333" s="119"/>
      <c r="E333" s="119"/>
      <c r="F333" s="118"/>
      <c r="G333" s="118"/>
      <c r="H333" s="118"/>
      <c r="I333" s="118"/>
      <c r="AF333" s="22"/>
      <c r="AG333" s="22"/>
      <c r="AH333" s="22"/>
      <c r="AI333" s="22"/>
      <c r="AJ333" s="22"/>
      <c r="AK333" s="23"/>
      <c r="AN333" s="24"/>
      <c r="AO333" s="24"/>
      <c r="AX333" s="25"/>
      <c r="BR333" s="25"/>
      <c r="CF333" s="27"/>
      <c r="CG333" s="27"/>
      <c r="CH333" s="27"/>
      <c r="CI333" s="27"/>
      <c r="CJ333" s="27"/>
      <c r="CK333" s="27"/>
    </row>
    <row r="334" ht="14.25" customHeight="1">
      <c r="A334" s="118"/>
      <c r="B334" s="118"/>
      <c r="C334" s="118"/>
      <c r="D334" s="119"/>
      <c r="E334" s="119"/>
      <c r="F334" s="118"/>
      <c r="G334" s="118"/>
      <c r="H334" s="118"/>
      <c r="I334" s="118"/>
      <c r="AF334" s="22"/>
      <c r="AG334" s="22"/>
      <c r="AH334" s="22"/>
      <c r="AI334" s="22"/>
      <c r="AJ334" s="22"/>
      <c r="AK334" s="23"/>
      <c r="AN334" s="24"/>
      <c r="AO334" s="24"/>
      <c r="AX334" s="25"/>
      <c r="BR334" s="25"/>
      <c r="CF334" s="27"/>
      <c r="CG334" s="27"/>
      <c r="CH334" s="27"/>
      <c r="CI334" s="27"/>
      <c r="CJ334" s="27"/>
      <c r="CK334" s="27"/>
    </row>
    <row r="335" ht="14.25" customHeight="1">
      <c r="A335" s="118"/>
      <c r="B335" s="118"/>
      <c r="C335" s="118"/>
      <c r="D335" s="119"/>
      <c r="E335" s="119"/>
      <c r="F335" s="118"/>
      <c r="G335" s="118"/>
      <c r="H335" s="118"/>
      <c r="I335" s="118"/>
      <c r="AF335" s="22"/>
      <c r="AG335" s="22"/>
      <c r="AH335" s="22"/>
      <c r="AI335" s="22"/>
      <c r="AJ335" s="22"/>
      <c r="AK335" s="23"/>
      <c r="AN335" s="24"/>
      <c r="AO335" s="24"/>
      <c r="AX335" s="25"/>
      <c r="BR335" s="25"/>
      <c r="CF335" s="27"/>
      <c r="CG335" s="27"/>
      <c r="CH335" s="27"/>
      <c r="CI335" s="27"/>
      <c r="CJ335" s="27"/>
      <c r="CK335" s="27"/>
    </row>
    <row r="336" ht="14.25" customHeight="1">
      <c r="A336" s="118"/>
      <c r="B336" s="118"/>
      <c r="C336" s="118"/>
      <c r="D336" s="119"/>
      <c r="E336" s="119"/>
      <c r="F336" s="118"/>
      <c r="G336" s="118"/>
      <c r="H336" s="118"/>
      <c r="I336" s="118"/>
      <c r="AF336" s="22"/>
      <c r="AG336" s="22"/>
      <c r="AH336" s="22"/>
      <c r="AI336" s="22"/>
      <c r="AJ336" s="22"/>
      <c r="AK336" s="23"/>
      <c r="AN336" s="24"/>
      <c r="AO336" s="24"/>
      <c r="AX336" s="25"/>
      <c r="BR336" s="25"/>
      <c r="CF336" s="27"/>
      <c r="CG336" s="27"/>
      <c r="CH336" s="27"/>
      <c r="CI336" s="27"/>
      <c r="CJ336" s="27"/>
      <c r="CK336" s="27"/>
    </row>
    <row r="337" ht="14.25" customHeight="1">
      <c r="A337" s="118"/>
      <c r="B337" s="118"/>
      <c r="C337" s="118"/>
      <c r="D337" s="119"/>
      <c r="E337" s="119"/>
      <c r="F337" s="118"/>
      <c r="G337" s="118"/>
      <c r="H337" s="118"/>
      <c r="I337" s="118"/>
      <c r="AF337" s="22"/>
      <c r="AG337" s="22"/>
      <c r="AH337" s="22"/>
      <c r="AI337" s="22"/>
      <c r="AJ337" s="22"/>
      <c r="AK337" s="23"/>
      <c r="AN337" s="24"/>
      <c r="AO337" s="24"/>
      <c r="AX337" s="25"/>
      <c r="BR337" s="25"/>
      <c r="CF337" s="27"/>
      <c r="CG337" s="27"/>
      <c r="CH337" s="27"/>
      <c r="CI337" s="27"/>
      <c r="CJ337" s="27"/>
      <c r="CK337" s="27"/>
    </row>
    <row r="338" ht="14.25" customHeight="1">
      <c r="A338" s="118"/>
      <c r="B338" s="118"/>
      <c r="C338" s="118"/>
      <c r="D338" s="119"/>
      <c r="E338" s="119"/>
      <c r="F338" s="118"/>
      <c r="G338" s="118"/>
      <c r="H338" s="118"/>
      <c r="I338" s="118"/>
      <c r="AF338" s="22"/>
      <c r="AG338" s="22"/>
      <c r="AH338" s="22"/>
      <c r="AI338" s="22"/>
      <c r="AJ338" s="22"/>
      <c r="AK338" s="23"/>
      <c r="AN338" s="24"/>
      <c r="AO338" s="24"/>
      <c r="AX338" s="25"/>
      <c r="BR338" s="25"/>
      <c r="CF338" s="27"/>
      <c r="CG338" s="27"/>
      <c r="CH338" s="27"/>
      <c r="CI338" s="27"/>
      <c r="CJ338" s="27"/>
      <c r="CK338" s="27"/>
    </row>
    <row r="339" ht="14.25" customHeight="1">
      <c r="A339" s="118"/>
      <c r="B339" s="118"/>
      <c r="C339" s="118"/>
      <c r="D339" s="119"/>
      <c r="E339" s="119"/>
      <c r="F339" s="118"/>
      <c r="G339" s="118"/>
      <c r="H339" s="118"/>
      <c r="I339" s="118"/>
      <c r="AF339" s="22"/>
      <c r="AG339" s="22"/>
      <c r="AH339" s="22"/>
      <c r="AI339" s="22"/>
      <c r="AJ339" s="22"/>
      <c r="AK339" s="23"/>
      <c r="AN339" s="24"/>
      <c r="AO339" s="24"/>
      <c r="AX339" s="25"/>
      <c r="BR339" s="25"/>
      <c r="CF339" s="27"/>
      <c r="CG339" s="27"/>
      <c r="CH339" s="27"/>
      <c r="CI339" s="27"/>
      <c r="CJ339" s="27"/>
      <c r="CK339" s="27"/>
    </row>
    <row r="340" ht="14.25" customHeight="1">
      <c r="A340" s="118"/>
      <c r="B340" s="118"/>
      <c r="C340" s="118"/>
      <c r="D340" s="119"/>
      <c r="E340" s="119"/>
      <c r="F340" s="118"/>
      <c r="G340" s="118"/>
      <c r="H340" s="118"/>
      <c r="I340" s="118"/>
      <c r="AF340" s="22"/>
      <c r="AG340" s="22"/>
      <c r="AH340" s="22"/>
      <c r="AI340" s="22"/>
      <c r="AJ340" s="22"/>
      <c r="AK340" s="23"/>
      <c r="AN340" s="24"/>
      <c r="AO340" s="24"/>
      <c r="AX340" s="25"/>
      <c r="BR340" s="25"/>
      <c r="CF340" s="27"/>
      <c r="CG340" s="27"/>
      <c r="CH340" s="27"/>
      <c r="CI340" s="27"/>
      <c r="CJ340" s="27"/>
      <c r="CK340" s="27"/>
    </row>
    <row r="341" ht="14.25" customHeight="1">
      <c r="A341" s="118"/>
      <c r="B341" s="118"/>
      <c r="C341" s="118"/>
      <c r="D341" s="119"/>
      <c r="E341" s="119"/>
      <c r="F341" s="118"/>
      <c r="G341" s="118"/>
      <c r="H341" s="118"/>
      <c r="I341" s="118"/>
      <c r="AF341" s="22"/>
      <c r="AG341" s="22"/>
      <c r="AH341" s="22"/>
      <c r="AI341" s="22"/>
      <c r="AJ341" s="22"/>
      <c r="AK341" s="23"/>
      <c r="AN341" s="24"/>
      <c r="AO341" s="24"/>
      <c r="AX341" s="25"/>
      <c r="BR341" s="25"/>
      <c r="CF341" s="27"/>
      <c r="CG341" s="27"/>
      <c r="CH341" s="27"/>
      <c r="CI341" s="27"/>
      <c r="CJ341" s="27"/>
      <c r="CK341" s="27"/>
    </row>
    <row r="342" ht="14.25" customHeight="1">
      <c r="A342" s="118"/>
      <c r="B342" s="118"/>
      <c r="C342" s="118"/>
      <c r="D342" s="119"/>
      <c r="E342" s="119"/>
      <c r="F342" s="118"/>
      <c r="G342" s="118"/>
      <c r="H342" s="118"/>
      <c r="I342" s="118"/>
      <c r="AF342" s="22"/>
      <c r="AG342" s="22"/>
      <c r="AH342" s="22"/>
      <c r="AI342" s="22"/>
      <c r="AJ342" s="22"/>
      <c r="AK342" s="23"/>
      <c r="AN342" s="24"/>
      <c r="AO342" s="24"/>
      <c r="AX342" s="25"/>
      <c r="BR342" s="25"/>
      <c r="CF342" s="27"/>
      <c r="CG342" s="27"/>
      <c r="CH342" s="27"/>
      <c r="CI342" s="27"/>
      <c r="CJ342" s="27"/>
      <c r="CK342" s="27"/>
    </row>
    <row r="343" ht="14.25" customHeight="1">
      <c r="A343" s="118"/>
      <c r="B343" s="118"/>
      <c r="C343" s="118"/>
      <c r="D343" s="119"/>
      <c r="E343" s="119"/>
      <c r="F343" s="118"/>
      <c r="G343" s="118"/>
      <c r="H343" s="118"/>
      <c r="I343" s="118"/>
      <c r="AF343" s="22"/>
      <c r="AG343" s="22"/>
      <c r="AH343" s="22"/>
      <c r="AI343" s="22"/>
      <c r="AJ343" s="22"/>
      <c r="AK343" s="23"/>
      <c r="AN343" s="24"/>
      <c r="AO343" s="24"/>
      <c r="AX343" s="25"/>
      <c r="BR343" s="25"/>
      <c r="CF343" s="27"/>
      <c r="CG343" s="27"/>
      <c r="CH343" s="27"/>
      <c r="CI343" s="27"/>
      <c r="CJ343" s="27"/>
      <c r="CK343" s="27"/>
    </row>
    <row r="344" ht="14.25" customHeight="1">
      <c r="A344" s="118"/>
      <c r="B344" s="118"/>
      <c r="C344" s="118"/>
      <c r="D344" s="119"/>
      <c r="E344" s="119"/>
      <c r="F344" s="118"/>
      <c r="G344" s="118"/>
      <c r="H344" s="118"/>
      <c r="I344" s="118"/>
      <c r="AF344" s="22"/>
      <c r="AG344" s="22"/>
      <c r="AH344" s="22"/>
      <c r="AI344" s="22"/>
      <c r="AJ344" s="22"/>
      <c r="AK344" s="23"/>
      <c r="AN344" s="24"/>
      <c r="AO344" s="24"/>
      <c r="AX344" s="25"/>
      <c r="BR344" s="25"/>
      <c r="CF344" s="27"/>
      <c r="CG344" s="27"/>
      <c r="CH344" s="27"/>
      <c r="CI344" s="27"/>
      <c r="CJ344" s="27"/>
      <c r="CK344" s="27"/>
    </row>
    <row r="345" ht="14.25" customHeight="1">
      <c r="A345" s="118"/>
      <c r="B345" s="118"/>
      <c r="C345" s="118"/>
      <c r="D345" s="119"/>
      <c r="E345" s="119"/>
      <c r="F345" s="118"/>
      <c r="G345" s="118"/>
      <c r="H345" s="118"/>
      <c r="I345" s="118"/>
      <c r="AF345" s="22"/>
      <c r="AG345" s="22"/>
      <c r="AH345" s="22"/>
      <c r="AI345" s="22"/>
      <c r="AJ345" s="22"/>
      <c r="AK345" s="23"/>
      <c r="AN345" s="24"/>
      <c r="AO345" s="24"/>
      <c r="AX345" s="25"/>
      <c r="BR345" s="25"/>
      <c r="CF345" s="27"/>
      <c r="CG345" s="27"/>
      <c r="CH345" s="27"/>
      <c r="CI345" s="27"/>
      <c r="CJ345" s="27"/>
      <c r="CK345" s="27"/>
    </row>
    <row r="346" ht="14.25" customHeight="1">
      <c r="A346" s="118"/>
      <c r="B346" s="118"/>
      <c r="C346" s="118"/>
      <c r="D346" s="119"/>
      <c r="E346" s="119"/>
      <c r="F346" s="118"/>
      <c r="G346" s="118"/>
      <c r="H346" s="118"/>
      <c r="I346" s="118"/>
      <c r="AF346" s="22"/>
      <c r="AG346" s="22"/>
      <c r="AH346" s="22"/>
      <c r="AI346" s="22"/>
      <c r="AJ346" s="22"/>
      <c r="AK346" s="23"/>
      <c r="AN346" s="24"/>
      <c r="AO346" s="24"/>
      <c r="AX346" s="25"/>
      <c r="BR346" s="25"/>
      <c r="CF346" s="27"/>
      <c r="CG346" s="27"/>
      <c r="CH346" s="27"/>
      <c r="CI346" s="27"/>
      <c r="CJ346" s="27"/>
      <c r="CK346" s="27"/>
    </row>
    <row r="347" ht="14.25" customHeight="1">
      <c r="A347" s="118"/>
      <c r="B347" s="118"/>
      <c r="C347" s="118"/>
      <c r="D347" s="119"/>
      <c r="E347" s="119"/>
      <c r="F347" s="118"/>
      <c r="G347" s="118"/>
      <c r="H347" s="118"/>
      <c r="I347" s="118"/>
      <c r="AF347" s="22"/>
      <c r="AG347" s="22"/>
      <c r="AH347" s="22"/>
      <c r="AI347" s="22"/>
      <c r="AJ347" s="22"/>
      <c r="AK347" s="23"/>
      <c r="AN347" s="24"/>
      <c r="AO347" s="24"/>
      <c r="AX347" s="25"/>
      <c r="BR347" s="25"/>
      <c r="CF347" s="27"/>
      <c r="CG347" s="27"/>
      <c r="CH347" s="27"/>
      <c r="CI347" s="27"/>
      <c r="CJ347" s="27"/>
      <c r="CK347" s="27"/>
    </row>
    <row r="348" ht="14.25" customHeight="1">
      <c r="A348" s="118"/>
      <c r="B348" s="118"/>
      <c r="C348" s="118"/>
      <c r="D348" s="119"/>
      <c r="E348" s="119"/>
      <c r="F348" s="118"/>
      <c r="G348" s="118"/>
      <c r="H348" s="118"/>
      <c r="I348" s="118"/>
      <c r="AF348" s="22"/>
      <c r="AG348" s="22"/>
      <c r="AH348" s="22"/>
      <c r="AI348" s="22"/>
      <c r="AJ348" s="22"/>
      <c r="AK348" s="23"/>
      <c r="AN348" s="24"/>
      <c r="AO348" s="24"/>
      <c r="AX348" s="25"/>
      <c r="BR348" s="25"/>
      <c r="CF348" s="27"/>
      <c r="CG348" s="27"/>
      <c r="CH348" s="27"/>
      <c r="CI348" s="27"/>
      <c r="CJ348" s="27"/>
      <c r="CK348" s="27"/>
    </row>
    <row r="349" ht="14.25" customHeight="1">
      <c r="A349" s="118"/>
      <c r="B349" s="118"/>
      <c r="C349" s="118"/>
      <c r="D349" s="119"/>
      <c r="E349" s="119"/>
      <c r="F349" s="118"/>
      <c r="G349" s="118"/>
      <c r="H349" s="118"/>
      <c r="I349" s="118"/>
      <c r="AF349" s="22"/>
      <c r="AG349" s="22"/>
      <c r="AH349" s="22"/>
      <c r="AI349" s="22"/>
      <c r="AJ349" s="22"/>
      <c r="AK349" s="23"/>
      <c r="AN349" s="24"/>
      <c r="AO349" s="24"/>
      <c r="AX349" s="25"/>
      <c r="BR349" s="25"/>
      <c r="CF349" s="27"/>
      <c r="CG349" s="27"/>
      <c r="CH349" s="27"/>
      <c r="CI349" s="27"/>
      <c r="CJ349" s="27"/>
      <c r="CK349" s="27"/>
    </row>
    <row r="350" ht="14.25" customHeight="1">
      <c r="A350" s="118"/>
      <c r="B350" s="118"/>
      <c r="C350" s="118"/>
      <c r="D350" s="119"/>
      <c r="E350" s="119"/>
      <c r="F350" s="118"/>
      <c r="G350" s="118"/>
      <c r="H350" s="118"/>
      <c r="I350" s="118"/>
      <c r="AF350" s="22"/>
      <c r="AG350" s="22"/>
      <c r="AH350" s="22"/>
      <c r="AI350" s="22"/>
      <c r="AJ350" s="22"/>
      <c r="AK350" s="23"/>
      <c r="AN350" s="24"/>
      <c r="AO350" s="24"/>
      <c r="AX350" s="25"/>
      <c r="BR350" s="25"/>
      <c r="CF350" s="27"/>
      <c r="CG350" s="27"/>
      <c r="CH350" s="27"/>
      <c r="CI350" s="27"/>
      <c r="CJ350" s="27"/>
      <c r="CK350" s="27"/>
    </row>
    <row r="351" ht="14.25" customHeight="1">
      <c r="A351" s="118"/>
      <c r="B351" s="118"/>
      <c r="C351" s="118"/>
      <c r="D351" s="119"/>
      <c r="E351" s="119"/>
      <c r="F351" s="118"/>
      <c r="G351" s="118"/>
      <c r="H351" s="118"/>
      <c r="I351" s="118"/>
      <c r="AF351" s="22"/>
      <c r="AG351" s="22"/>
      <c r="AH351" s="22"/>
      <c r="AI351" s="22"/>
      <c r="AJ351" s="22"/>
      <c r="AK351" s="23"/>
      <c r="AN351" s="24"/>
      <c r="AO351" s="24"/>
      <c r="AX351" s="25"/>
      <c r="BR351" s="25"/>
      <c r="CF351" s="27"/>
      <c r="CG351" s="27"/>
      <c r="CH351" s="27"/>
      <c r="CI351" s="27"/>
      <c r="CJ351" s="27"/>
      <c r="CK351" s="27"/>
    </row>
    <row r="352" ht="14.25" customHeight="1">
      <c r="A352" s="118"/>
      <c r="B352" s="118"/>
      <c r="C352" s="118"/>
      <c r="D352" s="119"/>
      <c r="E352" s="119"/>
      <c r="F352" s="118"/>
      <c r="G352" s="118"/>
      <c r="H352" s="118"/>
      <c r="I352" s="118"/>
      <c r="AF352" s="22"/>
      <c r="AG352" s="22"/>
      <c r="AH352" s="22"/>
      <c r="AI352" s="22"/>
      <c r="AJ352" s="22"/>
      <c r="AK352" s="23"/>
      <c r="AN352" s="24"/>
      <c r="AO352" s="24"/>
      <c r="AX352" s="25"/>
      <c r="BR352" s="25"/>
      <c r="CF352" s="27"/>
      <c r="CG352" s="27"/>
      <c r="CH352" s="27"/>
      <c r="CI352" s="27"/>
      <c r="CJ352" s="27"/>
      <c r="CK352" s="27"/>
    </row>
    <row r="353" ht="14.25" customHeight="1">
      <c r="A353" s="118"/>
      <c r="B353" s="118"/>
      <c r="C353" s="118"/>
      <c r="D353" s="119"/>
      <c r="E353" s="119"/>
      <c r="F353" s="118"/>
      <c r="G353" s="118"/>
      <c r="H353" s="118"/>
      <c r="I353" s="118"/>
      <c r="AF353" s="22"/>
      <c r="AG353" s="22"/>
      <c r="AH353" s="22"/>
      <c r="AI353" s="22"/>
      <c r="AJ353" s="22"/>
      <c r="AK353" s="23"/>
      <c r="AN353" s="24"/>
      <c r="AO353" s="24"/>
      <c r="AX353" s="25"/>
      <c r="BR353" s="25"/>
      <c r="CF353" s="27"/>
      <c r="CG353" s="27"/>
      <c r="CH353" s="27"/>
      <c r="CI353" s="27"/>
      <c r="CJ353" s="27"/>
      <c r="CK353" s="27"/>
    </row>
    <row r="354" ht="14.25" customHeight="1">
      <c r="A354" s="118"/>
      <c r="B354" s="118"/>
      <c r="C354" s="118"/>
      <c r="D354" s="119"/>
      <c r="E354" s="119"/>
      <c r="F354" s="118"/>
      <c r="G354" s="118"/>
      <c r="H354" s="118"/>
      <c r="I354" s="118"/>
      <c r="AF354" s="22"/>
      <c r="AG354" s="22"/>
      <c r="AH354" s="22"/>
      <c r="AI354" s="22"/>
      <c r="AJ354" s="22"/>
      <c r="AK354" s="23"/>
      <c r="AN354" s="24"/>
      <c r="AO354" s="24"/>
      <c r="AX354" s="25"/>
      <c r="BR354" s="25"/>
      <c r="CF354" s="27"/>
      <c r="CG354" s="27"/>
      <c r="CH354" s="27"/>
      <c r="CI354" s="27"/>
      <c r="CJ354" s="27"/>
      <c r="CK354" s="27"/>
    </row>
    <row r="355" ht="14.25" customHeight="1">
      <c r="A355" s="118"/>
      <c r="B355" s="118"/>
      <c r="C355" s="118"/>
      <c r="D355" s="119"/>
      <c r="E355" s="119"/>
      <c r="F355" s="118"/>
      <c r="G355" s="118"/>
      <c r="H355" s="118"/>
      <c r="I355" s="118"/>
      <c r="AF355" s="22"/>
      <c r="AG355" s="22"/>
      <c r="AH355" s="22"/>
      <c r="AI355" s="22"/>
      <c r="AJ355" s="22"/>
      <c r="AK355" s="23"/>
      <c r="AN355" s="24"/>
      <c r="AO355" s="24"/>
      <c r="AX355" s="25"/>
      <c r="BR355" s="25"/>
      <c r="CF355" s="27"/>
      <c r="CG355" s="27"/>
      <c r="CH355" s="27"/>
      <c r="CI355" s="27"/>
      <c r="CJ355" s="27"/>
      <c r="CK355" s="27"/>
    </row>
    <row r="356" ht="14.25" customHeight="1">
      <c r="A356" s="118"/>
      <c r="B356" s="118"/>
      <c r="C356" s="118"/>
      <c r="D356" s="119"/>
      <c r="E356" s="119"/>
      <c r="F356" s="118"/>
      <c r="G356" s="118"/>
      <c r="H356" s="118"/>
      <c r="I356" s="118"/>
      <c r="AF356" s="22"/>
      <c r="AG356" s="22"/>
      <c r="AH356" s="22"/>
      <c r="AI356" s="22"/>
      <c r="AJ356" s="22"/>
      <c r="AK356" s="23"/>
      <c r="AN356" s="24"/>
      <c r="AO356" s="24"/>
      <c r="AX356" s="25"/>
      <c r="BR356" s="25"/>
      <c r="CF356" s="27"/>
      <c r="CG356" s="27"/>
      <c r="CH356" s="27"/>
      <c r="CI356" s="27"/>
      <c r="CJ356" s="27"/>
      <c r="CK356" s="27"/>
    </row>
    <row r="357" ht="14.25" customHeight="1">
      <c r="A357" s="118"/>
      <c r="B357" s="118"/>
      <c r="C357" s="118"/>
      <c r="D357" s="119"/>
      <c r="E357" s="119"/>
      <c r="F357" s="118"/>
      <c r="G357" s="118"/>
      <c r="H357" s="118"/>
      <c r="I357" s="118"/>
      <c r="AF357" s="22"/>
      <c r="AG357" s="22"/>
      <c r="AH357" s="22"/>
      <c r="AI357" s="22"/>
      <c r="AJ357" s="22"/>
      <c r="AK357" s="23"/>
      <c r="AN357" s="24"/>
      <c r="AO357" s="24"/>
      <c r="AX357" s="25"/>
      <c r="BR357" s="25"/>
      <c r="CF357" s="27"/>
      <c r="CG357" s="27"/>
      <c r="CH357" s="27"/>
      <c r="CI357" s="27"/>
      <c r="CJ357" s="27"/>
      <c r="CK357" s="27"/>
    </row>
    <row r="358" ht="14.25" customHeight="1">
      <c r="A358" s="118"/>
      <c r="B358" s="118"/>
      <c r="C358" s="118"/>
      <c r="D358" s="119"/>
      <c r="E358" s="119"/>
      <c r="F358" s="118"/>
      <c r="G358" s="118"/>
      <c r="H358" s="118"/>
      <c r="I358" s="118"/>
      <c r="AF358" s="22"/>
      <c r="AG358" s="22"/>
      <c r="AH358" s="22"/>
      <c r="AI358" s="22"/>
      <c r="AJ358" s="22"/>
      <c r="AK358" s="23"/>
      <c r="AN358" s="24"/>
      <c r="AO358" s="24"/>
      <c r="AX358" s="25"/>
      <c r="BR358" s="25"/>
      <c r="CF358" s="27"/>
      <c r="CG358" s="27"/>
      <c r="CH358" s="27"/>
      <c r="CI358" s="27"/>
      <c r="CJ358" s="27"/>
      <c r="CK358" s="27"/>
    </row>
    <row r="359" ht="14.25" customHeight="1">
      <c r="A359" s="118"/>
      <c r="B359" s="118"/>
      <c r="C359" s="118"/>
      <c r="D359" s="119"/>
      <c r="E359" s="119"/>
      <c r="F359" s="118"/>
      <c r="G359" s="118"/>
      <c r="H359" s="118"/>
      <c r="I359" s="118"/>
      <c r="AF359" s="22"/>
      <c r="AG359" s="22"/>
      <c r="AH359" s="22"/>
      <c r="AI359" s="22"/>
      <c r="AJ359" s="22"/>
      <c r="AK359" s="23"/>
      <c r="AN359" s="24"/>
      <c r="AO359" s="24"/>
      <c r="AX359" s="25"/>
      <c r="BR359" s="25"/>
      <c r="CF359" s="27"/>
      <c r="CG359" s="27"/>
      <c r="CH359" s="27"/>
      <c r="CI359" s="27"/>
      <c r="CJ359" s="27"/>
      <c r="CK359" s="27"/>
    </row>
    <row r="360" ht="14.25" customHeight="1">
      <c r="A360" s="118"/>
      <c r="B360" s="118"/>
      <c r="C360" s="118"/>
      <c r="D360" s="119"/>
      <c r="E360" s="119"/>
      <c r="F360" s="118"/>
      <c r="G360" s="118"/>
      <c r="H360" s="118"/>
      <c r="I360" s="118"/>
      <c r="AF360" s="22"/>
      <c r="AG360" s="22"/>
      <c r="AH360" s="22"/>
      <c r="AI360" s="22"/>
      <c r="AJ360" s="22"/>
      <c r="AK360" s="23"/>
      <c r="AN360" s="24"/>
      <c r="AO360" s="24"/>
      <c r="AX360" s="25"/>
      <c r="BR360" s="25"/>
      <c r="CF360" s="27"/>
      <c r="CG360" s="27"/>
      <c r="CH360" s="27"/>
      <c r="CI360" s="27"/>
      <c r="CJ360" s="27"/>
      <c r="CK360" s="27"/>
    </row>
    <row r="361" ht="14.25" customHeight="1">
      <c r="A361" s="118"/>
      <c r="B361" s="118"/>
      <c r="C361" s="118"/>
      <c r="D361" s="119"/>
      <c r="E361" s="119"/>
      <c r="F361" s="118"/>
      <c r="G361" s="118"/>
      <c r="H361" s="118"/>
      <c r="I361" s="118"/>
      <c r="AF361" s="22"/>
      <c r="AG361" s="22"/>
      <c r="AH361" s="22"/>
      <c r="AI361" s="22"/>
      <c r="AJ361" s="22"/>
      <c r="AK361" s="23"/>
      <c r="AN361" s="24"/>
      <c r="AO361" s="24"/>
      <c r="AX361" s="25"/>
      <c r="BR361" s="25"/>
      <c r="CF361" s="27"/>
      <c r="CG361" s="27"/>
      <c r="CH361" s="27"/>
      <c r="CI361" s="27"/>
      <c r="CJ361" s="27"/>
      <c r="CK361" s="27"/>
    </row>
    <row r="362" ht="14.25" customHeight="1">
      <c r="A362" s="118"/>
      <c r="B362" s="118"/>
      <c r="C362" s="118"/>
      <c r="D362" s="119"/>
      <c r="E362" s="119"/>
      <c r="F362" s="118"/>
      <c r="G362" s="118"/>
      <c r="H362" s="118"/>
      <c r="I362" s="118"/>
      <c r="AF362" s="22"/>
      <c r="AG362" s="22"/>
      <c r="AH362" s="22"/>
      <c r="AI362" s="22"/>
      <c r="AJ362" s="22"/>
      <c r="AK362" s="23"/>
      <c r="AN362" s="24"/>
      <c r="AO362" s="24"/>
      <c r="AX362" s="25"/>
      <c r="BR362" s="25"/>
      <c r="CF362" s="27"/>
      <c r="CG362" s="27"/>
      <c r="CH362" s="27"/>
      <c r="CI362" s="27"/>
      <c r="CJ362" s="27"/>
      <c r="CK362" s="27"/>
    </row>
    <row r="363" ht="14.25" customHeight="1">
      <c r="A363" s="118"/>
      <c r="B363" s="118"/>
      <c r="C363" s="118"/>
      <c r="D363" s="119"/>
      <c r="E363" s="119"/>
      <c r="F363" s="118"/>
      <c r="G363" s="118"/>
      <c r="H363" s="118"/>
      <c r="I363" s="118"/>
      <c r="AF363" s="22"/>
      <c r="AG363" s="22"/>
      <c r="AH363" s="22"/>
      <c r="AI363" s="22"/>
      <c r="AJ363" s="22"/>
      <c r="AK363" s="23"/>
      <c r="AN363" s="24"/>
      <c r="AO363" s="24"/>
      <c r="AX363" s="25"/>
      <c r="BR363" s="25"/>
      <c r="CF363" s="27"/>
      <c r="CG363" s="27"/>
      <c r="CH363" s="27"/>
      <c r="CI363" s="27"/>
      <c r="CJ363" s="27"/>
      <c r="CK363" s="27"/>
    </row>
    <row r="364" ht="14.25" customHeight="1">
      <c r="A364" s="118"/>
      <c r="B364" s="118"/>
      <c r="C364" s="118"/>
      <c r="D364" s="119"/>
      <c r="E364" s="119"/>
      <c r="F364" s="118"/>
      <c r="G364" s="118"/>
      <c r="H364" s="118"/>
      <c r="I364" s="118"/>
      <c r="AF364" s="22"/>
      <c r="AG364" s="22"/>
      <c r="AH364" s="22"/>
      <c r="AI364" s="22"/>
      <c r="AJ364" s="22"/>
      <c r="AK364" s="23"/>
      <c r="AN364" s="24"/>
      <c r="AO364" s="24"/>
      <c r="AX364" s="25"/>
      <c r="BR364" s="25"/>
      <c r="CF364" s="27"/>
      <c r="CG364" s="27"/>
      <c r="CH364" s="27"/>
      <c r="CI364" s="27"/>
      <c r="CJ364" s="27"/>
      <c r="CK364" s="27"/>
    </row>
    <row r="365" ht="14.25" customHeight="1">
      <c r="A365" s="118"/>
      <c r="B365" s="118"/>
      <c r="C365" s="118"/>
      <c r="D365" s="119"/>
      <c r="E365" s="119"/>
      <c r="F365" s="118"/>
      <c r="G365" s="118"/>
      <c r="H365" s="118"/>
      <c r="I365" s="118"/>
      <c r="AF365" s="22"/>
      <c r="AG365" s="22"/>
      <c r="AH365" s="22"/>
      <c r="AI365" s="22"/>
      <c r="AJ365" s="22"/>
      <c r="AK365" s="23"/>
      <c r="AN365" s="24"/>
      <c r="AO365" s="24"/>
      <c r="AX365" s="25"/>
      <c r="BR365" s="25"/>
      <c r="CF365" s="27"/>
      <c r="CG365" s="27"/>
      <c r="CH365" s="27"/>
      <c r="CI365" s="27"/>
      <c r="CJ365" s="27"/>
      <c r="CK365" s="27"/>
    </row>
    <row r="366" ht="14.25" customHeight="1">
      <c r="A366" s="118"/>
      <c r="B366" s="118"/>
      <c r="C366" s="118"/>
      <c r="D366" s="119"/>
      <c r="E366" s="119"/>
      <c r="F366" s="118"/>
      <c r="G366" s="118"/>
      <c r="H366" s="118"/>
      <c r="I366" s="118"/>
      <c r="AF366" s="22"/>
      <c r="AG366" s="22"/>
      <c r="AH366" s="22"/>
      <c r="AI366" s="22"/>
      <c r="AJ366" s="22"/>
      <c r="AK366" s="23"/>
      <c r="AN366" s="24"/>
      <c r="AO366" s="24"/>
      <c r="AX366" s="25"/>
      <c r="BR366" s="25"/>
      <c r="CF366" s="27"/>
      <c r="CG366" s="27"/>
      <c r="CH366" s="27"/>
      <c r="CI366" s="27"/>
      <c r="CJ366" s="27"/>
      <c r="CK366" s="27"/>
    </row>
    <row r="367" ht="14.25" customHeight="1">
      <c r="A367" s="118"/>
      <c r="B367" s="118"/>
      <c r="C367" s="118"/>
      <c r="D367" s="119"/>
      <c r="E367" s="119"/>
      <c r="F367" s="118"/>
      <c r="G367" s="118"/>
      <c r="H367" s="118"/>
      <c r="I367" s="118"/>
      <c r="AF367" s="22"/>
      <c r="AG367" s="22"/>
      <c r="AH367" s="22"/>
      <c r="AI367" s="22"/>
      <c r="AJ367" s="22"/>
      <c r="AK367" s="23"/>
      <c r="AN367" s="24"/>
      <c r="AO367" s="24"/>
      <c r="AX367" s="25"/>
      <c r="BR367" s="25"/>
      <c r="CF367" s="27"/>
      <c r="CG367" s="27"/>
      <c r="CH367" s="27"/>
      <c r="CI367" s="27"/>
      <c r="CJ367" s="27"/>
      <c r="CK367" s="27"/>
    </row>
    <row r="368" ht="14.25" customHeight="1">
      <c r="A368" s="118"/>
      <c r="B368" s="118"/>
      <c r="C368" s="118"/>
      <c r="D368" s="119"/>
      <c r="E368" s="119"/>
      <c r="F368" s="118"/>
      <c r="G368" s="118"/>
      <c r="H368" s="118"/>
      <c r="I368" s="118"/>
      <c r="AF368" s="22"/>
      <c r="AG368" s="22"/>
      <c r="AH368" s="22"/>
      <c r="AI368" s="22"/>
      <c r="AJ368" s="22"/>
      <c r="AK368" s="23"/>
      <c r="AN368" s="24"/>
      <c r="AO368" s="24"/>
      <c r="AX368" s="25"/>
      <c r="BR368" s="25"/>
      <c r="CF368" s="27"/>
      <c r="CG368" s="27"/>
      <c r="CH368" s="27"/>
      <c r="CI368" s="27"/>
      <c r="CJ368" s="27"/>
      <c r="CK368" s="27"/>
    </row>
    <row r="369" ht="14.25" customHeight="1">
      <c r="A369" s="118"/>
      <c r="B369" s="118"/>
      <c r="C369" s="118"/>
      <c r="D369" s="119"/>
      <c r="E369" s="119"/>
      <c r="F369" s="118"/>
      <c r="G369" s="118"/>
      <c r="H369" s="118"/>
      <c r="I369" s="118"/>
      <c r="AF369" s="22"/>
      <c r="AG369" s="22"/>
      <c r="AH369" s="22"/>
      <c r="AI369" s="22"/>
      <c r="AJ369" s="22"/>
      <c r="AK369" s="23"/>
      <c r="AN369" s="24"/>
      <c r="AO369" s="24"/>
      <c r="AX369" s="25"/>
      <c r="BR369" s="25"/>
      <c r="CF369" s="27"/>
      <c r="CG369" s="27"/>
      <c r="CH369" s="27"/>
      <c r="CI369" s="27"/>
      <c r="CJ369" s="27"/>
      <c r="CK369" s="27"/>
    </row>
    <row r="370" ht="14.25" customHeight="1">
      <c r="A370" s="118"/>
      <c r="B370" s="118"/>
      <c r="C370" s="118"/>
      <c r="D370" s="119"/>
      <c r="E370" s="119"/>
      <c r="F370" s="118"/>
      <c r="G370" s="118"/>
      <c r="H370" s="118"/>
      <c r="I370" s="118"/>
      <c r="AF370" s="22"/>
      <c r="AG370" s="22"/>
      <c r="AH370" s="22"/>
      <c r="AI370" s="22"/>
      <c r="AJ370" s="22"/>
      <c r="AK370" s="23"/>
      <c r="AN370" s="24"/>
      <c r="AO370" s="24"/>
      <c r="AX370" s="25"/>
      <c r="BR370" s="25"/>
      <c r="CF370" s="27"/>
      <c r="CG370" s="27"/>
      <c r="CH370" s="27"/>
      <c r="CI370" s="27"/>
      <c r="CJ370" s="27"/>
      <c r="CK370" s="27"/>
    </row>
    <row r="371" ht="14.25" customHeight="1">
      <c r="A371" s="118"/>
      <c r="B371" s="118"/>
      <c r="C371" s="118"/>
      <c r="D371" s="119"/>
      <c r="E371" s="119"/>
      <c r="F371" s="118"/>
      <c r="G371" s="118"/>
      <c r="H371" s="118"/>
      <c r="I371" s="118"/>
      <c r="AF371" s="22"/>
      <c r="AG371" s="22"/>
      <c r="AH371" s="22"/>
      <c r="AI371" s="22"/>
      <c r="AJ371" s="22"/>
      <c r="AK371" s="23"/>
      <c r="AN371" s="24"/>
      <c r="AO371" s="24"/>
      <c r="AX371" s="25"/>
      <c r="BR371" s="25"/>
      <c r="CF371" s="27"/>
      <c r="CG371" s="27"/>
      <c r="CH371" s="27"/>
      <c r="CI371" s="27"/>
      <c r="CJ371" s="27"/>
      <c r="CK371" s="27"/>
    </row>
    <row r="372" ht="14.25" customHeight="1">
      <c r="A372" s="118"/>
      <c r="B372" s="118"/>
      <c r="C372" s="118"/>
      <c r="D372" s="119"/>
      <c r="E372" s="119"/>
      <c r="F372" s="118"/>
      <c r="G372" s="118"/>
      <c r="H372" s="118"/>
      <c r="I372" s="118"/>
      <c r="AF372" s="22"/>
      <c r="AG372" s="22"/>
      <c r="AH372" s="22"/>
      <c r="AI372" s="22"/>
      <c r="AJ372" s="22"/>
      <c r="AK372" s="23"/>
      <c r="AN372" s="24"/>
      <c r="AO372" s="24"/>
      <c r="AX372" s="25"/>
      <c r="BR372" s="25"/>
      <c r="CF372" s="27"/>
      <c r="CG372" s="27"/>
      <c r="CH372" s="27"/>
      <c r="CI372" s="27"/>
      <c r="CJ372" s="27"/>
      <c r="CK372" s="27"/>
    </row>
    <row r="373" ht="14.25" customHeight="1">
      <c r="A373" s="118"/>
      <c r="B373" s="118"/>
      <c r="C373" s="118"/>
      <c r="D373" s="119"/>
      <c r="E373" s="119"/>
      <c r="F373" s="118"/>
      <c r="G373" s="118"/>
      <c r="H373" s="118"/>
      <c r="I373" s="118"/>
      <c r="AF373" s="22"/>
      <c r="AG373" s="22"/>
      <c r="AH373" s="22"/>
      <c r="AI373" s="22"/>
      <c r="AJ373" s="22"/>
      <c r="AK373" s="23"/>
      <c r="AN373" s="24"/>
      <c r="AO373" s="24"/>
      <c r="AX373" s="25"/>
      <c r="BR373" s="25"/>
      <c r="CF373" s="27"/>
      <c r="CG373" s="27"/>
      <c r="CH373" s="27"/>
      <c r="CI373" s="27"/>
      <c r="CJ373" s="27"/>
      <c r="CK373" s="27"/>
    </row>
    <row r="374" ht="14.25" customHeight="1">
      <c r="A374" s="118"/>
      <c r="B374" s="118"/>
      <c r="C374" s="118"/>
      <c r="D374" s="119"/>
      <c r="E374" s="119"/>
      <c r="F374" s="118"/>
      <c r="G374" s="118"/>
      <c r="H374" s="118"/>
      <c r="I374" s="118"/>
      <c r="AF374" s="22"/>
      <c r="AG374" s="22"/>
      <c r="AH374" s="22"/>
      <c r="AI374" s="22"/>
      <c r="AJ374" s="22"/>
      <c r="AK374" s="23"/>
      <c r="AN374" s="24"/>
      <c r="AO374" s="24"/>
      <c r="AX374" s="25"/>
      <c r="BR374" s="25"/>
      <c r="CF374" s="27"/>
      <c r="CG374" s="27"/>
      <c r="CH374" s="27"/>
      <c r="CI374" s="27"/>
      <c r="CJ374" s="27"/>
      <c r="CK374" s="27"/>
    </row>
    <row r="375" ht="14.25" customHeight="1">
      <c r="A375" s="118"/>
      <c r="B375" s="118"/>
      <c r="C375" s="118"/>
      <c r="D375" s="119"/>
      <c r="E375" s="119"/>
      <c r="F375" s="118"/>
      <c r="G375" s="118"/>
      <c r="H375" s="118"/>
      <c r="I375" s="118"/>
      <c r="AF375" s="22"/>
      <c r="AG375" s="22"/>
      <c r="AH375" s="22"/>
      <c r="AI375" s="22"/>
      <c r="AJ375" s="22"/>
      <c r="AK375" s="23"/>
      <c r="AN375" s="24"/>
      <c r="AO375" s="24"/>
      <c r="AX375" s="25"/>
      <c r="BR375" s="25"/>
      <c r="CF375" s="27"/>
      <c r="CG375" s="27"/>
      <c r="CH375" s="27"/>
      <c r="CI375" s="27"/>
      <c r="CJ375" s="27"/>
      <c r="CK375" s="27"/>
    </row>
    <row r="376" ht="14.25" customHeight="1">
      <c r="A376" s="118"/>
      <c r="B376" s="118"/>
      <c r="C376" s="118"/>
      <c r="D376" s="119"/>
      <c r="E376" s="119"/>
      <c r="F376" s="118"/>
      <c r="G376" s="118"/>
      <c r="H376" s="118"/>
      <c r="I376" s="118"/>
      <c r="AF376" s="22"/>
      <c r="AG376" s="22"/>
      <c r="AH376" s="22"/>
      <c r="AI376" s="22"/>
      <c r="AJ376" s="22"/>
      <c r="AK376" s="23"/>
      <c r="AN376" s="24"/>
      <c r="AO376" s="24"/>
      <c r="AX376" s="25"/>
      <c r="BR376" s="25"/>
      <c r="CF376" s="27"/>
      <c r="CG376" s="27"/>
      <c r="CH376" s="27"/>
      <c r="CI376" s="27"/>
      <c r="CJ376" s="27"/>
      <c r="CK376" s="27"/>
    </row>
    <row r="377" ht="14.25" customHeight="1">
      <c r="A377" s="118"/>
      <c r="B377" s="118"/>
      <c r="C377" s="118"/>
      <c r="D377" s="119"/>
      <c r="E377" s="119"/>
      <c r="F377" s="118"/>
      <c r="G377" s="118"/>
      <c r="H377" s="118"/>
      <c r="I377" s="118"/>
      <c r="AF377" s="22"/>
      <c r="AG377" s="22"/>
      <c r="AH377" s="22"/>
      <c r="AI377" s="22"/>
      <c r="AJ377" s="22"/>
      <c r="AK377" s="23"/>
      <c r="AN377" s="24"/>
      <c r="AO377" s="24"/>
      <c r="AX377" s="25"/>
      <c r="BR377" s="25"/>
      <c r="CF377" s="27"/>
      <c r="CG377" s="27"/>
      <c r="CH377" s="27"/>
      <c r="CI377" s="27"/>
      <c r="CJ377" s="27"/>
      <c r="CK377" s="27"/>
    </row>
    <row r="378" ht="14.25" customHeight="1">
      <c r="A378" s="118"/>
      <c r="B378" s="118"/>
      <c r="C378" s="118"/>
      <c r="D378" s="119"/>
      <c r="E378" s="119"/>
      <c r="F378" s="118"/>
      <c r="G378" s="118"/>
      <c r="H378" s="118"/>
      <c r="I378" s="118"/>
      <c r="AF378" s="22"/>
      <c r="AG378" s="22"/>
      <c r="AH378" s="22"/>
      <c r="AI378" s="22"/>
      <c r="AJ378" s="22"/>
      <c r="AK378" s="23"/>
      <c r="AN378" s="24"/>
      <c r="AO378" s="24"/>
      <c r="AX378" s="25"/>
      <c r="BR378" s="25"/>
      <c r="CF378" s="27"/>
      <c r="CG378" s="27"/>
      <c r="CH378" s="27"/>
      <c r="CI378" s="27"/>
      <c r="CJ378" s="27"/>
      <c r="CK378" s="27"/>
    </row>
    <row r="379" ht="14.25" customHeight="1">
      <c r="A379" s="118"/>
      <c r="B379" s="118"/>
      <c r="C379" s="118"/>
      <c r="D379" s="119"/>
      <c r="E379" s="119"/>
      <c r="F379" s="118"/>
      <c r="G379" s="118"/>
      <c r="H379" s="118"/>
      <c r="I379" s="118"/>
      <c r="AF379" s="22"/>
      <c r="AG379" s="22"/>
      <c r="AH379" s="22"/>
      <c r="AI379" s="22"/>
      <c r="AJ379" s="22"/>
      <c r="AK379" s="23"/>
      <c r="AN379" s="24"/>
      <c r="AO379" s="24"/>
      <c r="AX379" s="25"/>
      <c r="BR379" s="25"/>
      <c r="CF379" s="27"/>
      <c r="CG379" s="27"/>
      <c r="CH379" s="27"/>
      <c r="CI379" s="27"/>
      <c r="CJ379" s="27"/>
      <c r="CK379" s="27"/>
    </row>
    <row r="380" ht="14.25" customHeight="1">
      <c r="A380" s="118"/>
      <c r="B380" s="118"/>
      <c r="C380" s="118"/>
      <c r="D380" s="119"/>
      <c r="E380" s="119"/>
      <c r="F380" s="118"/>
      <c r="G380" s="118"/>
      <c r="H380" s="118"/>
      <c r="I380" s="118"/>
      <c r="AF380" s="22"/>
      <c r="AG380" s="22"/>
      <c r="AH380" s="22"/>
      <c r="AI380" s="22"/>
      <c r="AJ380" s="22"/>
      <c r="AK380" s="23"/>
      <c r="AN380" s="24"/>
      <c r="AO380" s="24"/>
      <c r="AX380" s="25"/>
      <c r="BR380" s="25"/>
      <c r="CF380" s="27"/>
      <c r="CG380" s="27"/>
      <c r="CH380" s="27"/>
      <c r="CI380" s="27"/>
      <c r="CJ380" s="27"/>
      <c r="CK380" s="27"/>
    </row>
    <row r="381" ht="14.25" customHeight="1">
      <c r="A381" s="118"/>
      <c r="B381" s="118"/>
      <c r="C381" s="118"/>
      <c r="D381" s="119"/>
      <c r="E381" s="119"/>
      <c r="F381" s="118"/>
      <c r="G381" s="118"/>
      <c r="H381" s="118"/>
      <c r="I381" s="118"/>
      <c r="AF381" s="22"/>
      <c r="AG381" s="22"/>
      <c r="AH381" s="22"/>
      <c r="AI381" s="22"/>
      <c r="AJ381" s="22"/>
      <c r="AK381" s="23"/>
      <c r="AN381" s="24"/>
      <c r="AO381" s="24"/>
      <c r="AX381" s="25"/>
      <c r="BR381" s="25"/>
      <c r="CF381" s="27"/>
      <c r="CG381" s="27"/>
      <c r="CH381" s="27"/>
      <c r="CI381" s="27"/>
      <c r="CJ381" s="27"/>
      <c r="CK381" s="27"/>
    </row>
    <row r="382" ht="14.25" customHeight="1">
      <c r="A382" s="118"/>
      <c r="B382" s="118"/>
      <c r="C382" s="118"/>
      <c r="D382" s="119"/>
      <c r="E382" s="119"/>
      <c r="F382" s="118"/>
      <c r="G382" s="118"/>
      <c r="H382" s="118"/>
      <c r="I382" s="118"/>
      <c r="AF382" s="22"/>
      <c r="AG382" s="22"/>
      <c r="AH382" s="22"/>
      <c r="AI382" s="22"/>
      <c r="AJ382" s="22"/>
      <c r="AK382" s="23"/>
      <c r="AN382" s="24"/>
      <c r="AO382" s="24"/>
      <c r="AX382" s="25"/>
      <c r="BR382" s="25"/>
      <c r="CF382" s="27"/>
      <c r="CG382" s="27"/>
      <c r="CH382" s="27"/>
      <c r="CI382" s="27"/>
      <c r="CJ382" s="27"/>
      <c r="CK382" s="27"/>
    </row>
    <row r="383" ht="14.25" customHeight="1">
      <c r="A383" s="118"/>
      <c r="B383" s="118"/>
      <c r="C383" s="118"/>
      <c r="D383" s="119"/>
      <c r="E383" s="119"/>
      <c r="F383" s="118"/>
      <c r="G383" s="118"/>
      <c r="H383" s="118"/>
      <c r="I383" s="118"/>
      <c r="AF383" s="22"/>
      <c r="AG383" s="22"/>
      <c r="AH383" s="22"/>
      <c r="AI383" s="22"/>
      <c r="AJ383" s="22"/>
      <c r="AK383" s="23"/>
      <c r="AN383" s="24"/>
      <c r="AO383" s="24"/>
      <c r="AX383" s="25"/>
      <c r="BR383" s="25"/>
      <c r="CF383" s="27"/>
      <c r="CG383" s="27"/>
      <c r="CH383" s="27"/>
      <c r="CI383" s="27"/>
      <c r="CJ383" s="27"/>
      <c r="CK383" s="27"/>
    </row>
    <row r="384" ht="14.25" customHeight="1">
      <c r="A384" s="118"/>
      <c r="B384" s="118"/>
      <c r="C384" s="118"/>
      <c r="D384" s="119"/>
      <c r="E384" s="119"/>
      <c r="F384" s="118"/>
      <c r="G384" s="118"/>
      <c r="H384" s="118"/>
      <c r="I384" s="118"/>
      <c r="AF384" s="22"/>
      <c r="AG384" s="22"/>
      <c r="AH384" s="22"/>
      <c r="AI384" s="22"/>
      <c r="AJ384" s="22"/>
      <c r="AK384" s="23"/>
      <c r="AN384" s="24"/>
      <c r="AO384" s="24"/>
      <c r="AX384" s="25"/>
      <c r="BR384" s="25"/>
      <c r="CF384" s="27"/>
      <c r="CG384" s="27"/>
      <c r="CH384" s="27"/>
      <c r="CI384" s="27"/>
      <c r="CJ384" s="27"/>
      <c r="CK384" s="27"/>
    </row>
    <row r="385" ht="14.25" customHeight="1">
      <c r="A385" s="118"/>
      <c r="B385" s="118"/>
      <c r="C385" s="118"/>
      <c r="D385" s="119"/>
      <c r="E385" s="119"/>
      <c r="F385" s="118"/>
      <c r="G385" s="118"/>
      <c r="H385" s="118"/>
      <c r="I385" s="118"/>
      <c r="AF385" s="22"/>
      <c r="AG385" s="22"/>
      <c r="AH385" s="22"/>
      <c r="AI385" s="22"/>
      <c r="AJ385" s="22"/>
      <c r="AK385" s="23"/>
      <c r="AN385" s="24"/>
      <c r="AO385" s="24"/>
      <c r="AX385" s="25"/>
      <c r="BR385" s="25"/>
      <c r="CF385" s="27"/>
      <c r="CG385" s="27"/>
      <c r="CH385" s="27"/>
      <c r="CI385" s="27"/>
      <c r="CJ385" s="27"/>
      <c r="CK385" s="27"/>
    </row>
    <row r="386" ht="14.25" customHeight="1">
      <c r="A386" s="118"/>
      <c r="B386" s="118"/>
      <c r="C386" s="118"/>
      <c r="D386" s="119"/>
      <c r="E386" s="119"/>
      <c r="F386" s="118"/>
      <c r="G386" s="118"/>
      <c r="H386" s="118"/>
      <c r="I386" s="118"/>
      <c r="AF386" s="22"/>
      <c r="AG386" s="22"/>
      <c r="AH386" s="22"/>
      <c r="AI386" s="22"/>
      <c r="AJ386" s="22"/>
      <c r="AK386" s="23"/>
      <c r="AN386" s="24"/>
      <c r="AO386" s="24"/>
      <c r="AX386" s="25"/>
      <c r="BR386" s="25"/>
      <c r="CF386" s="27"/>
      <c r="CG386" s="27"/>
      <c r="CH386" s="27"/>
      <c r="CI386" s="27"/>
      <c r="CJ386" s="27"/>
      <c r="CK386" s="27"/>
    </row>
    <row r="387" ht="14.25" customHeight="1">
      <c r="A387" s="118"/>
      <c r="B387" s="118"/>
      <c r="C387" s="118"/>
      <c r="D387" s="119"/>
      <c r="E387" s="119"/>
      <c r="F387" s="118"/>
      <c r="G387" s="118"/>
      <c r="H387" s="118"/>
      <c r="I387" s="118"/>
      <c r="AF387" s="22"/>
      <c r="AG387" s="22"/>
      <c r="AH387" s="22"/>
      <c r="AI387" s="22"/>
      <c r="AJ387" s="22"/>
      <c r="AK387" s="23"/>
      <c r="AN387" s="24"/>
      <c r="AO387" s="24"/>
      <c r="AX387" s="25"/>
      <c r="BR387" s="25"/>
      <c r="CF387" s="27"/>
      <c r="CG387" s="27"/>
      <c r="CH387" s="27"/>
      <c r="CI387" s="27"/>
      <c r="CJ387" s="27"/>
      <c r="CK387" s="27"/>
    </row>
    <row r="388" ht="14.25" customHeight="1">
      <c r="A388" s="118"/>
      <c r="B388" s="118"/>
      <c r="C388" s="118"/>
      <c r="D388" s="119"/>
      <c r="E388" s="119"/>
      <c r="F388" s="118"/>
      <c r="G388" s="118"/>
      <c r="H388" s="118"/>
      <c r="I388" s="118"/>
      <c r="AF388" s="22"/>
      <c r="AG388" s="22"/>
      <c r="AH388" s="22"/>
      <c r="AI388" s="22"/>
      <c r="AJ388" s="22"/>
      <c r="AK388" s="23"/>
      <c r="AN388" s="24"/>
      <c r="AO388" s="24"/>
      <c r="AX388" s="25"/>
      <c r="BR388" s="25"/>
      <c r="CF388" s="27"/>
      <c r="CG388" s="27"/>
      <c r="CH388" s="27"/>
      <c r="CI388" s="27"/>
      <c r="CJ388" s="27"/>
      <c r="CK388" s="27"/>
    </row>
    <row r="389" ht="14.25" customHeight="1">
      <c r="A389" s="118"/>
      <c r="B389" s="118"/>
      <c r="C389" s="118"/>
      <c r="D389" s="119"/>
      <c r="E389" s="119"/>
      <c r="F389" s="118"/>
      <c r="G389" s="118"/>
      <c r="H389" s="118"/>
      <c r="I389" s="118"/>
      <c r="AF389" s="22"/>
      <c r="AG389" s="22"/>
      <c r="AH389" s="22"/>
      <c r="AI389" s="22"/>
      <c r="AJ389" s="22"/>
      <c r="AK389" s="23"/>
      <c r="AN389" s="24"/>
      <c r="AO389" s="24"/>
      <c r="AX389" s="25"/>
      <c r="BR389" s="25"/>
      <c r="CF389" s="27"/>
      <c r="CG389" s="27"/>
      <c r="CH389" s="27"/>
      <c r="CI389" s="27"/>
      <c r="CJ389" s="27"/>
      <c r="CK389" s="27"/>
    </row>
    <row r="390" ht="14.25" customHeight="1">
      <c r="A390" s="118"/>
      <c r="B390" s="118"/>
      <c r="C390" s="118"/>
      <c r="D390" s="119"/>
      <c r="E390" s="119"/>
      <c r="F390" s="118"/>
      <c r="G390" s="118"/>
      <c r="H390" s="118"/>
      <c r="I390" s="118"/>
      <c r="AF390" s="22"/>
      <c r="AG390" s="22"/>
      <c r="AH390" s="22"/>
      <c r="AI390" s="22"/>
      <c r="AJ390" s="22"/>
      <c r="AK390" s="23"/>
      <c r="AN390" s="24"/>
      <c r="AO390" s="24"/>
      <c r="AX390" s="25"/>
      <c r="BR390" s="25"/>
      <c r="CF390" s="27"/>
      <c r="CG390" s="27"/>
      <c r="CH390" s="27"/>
      <c r="CI390" s="27"/>
      <c r="CJ390" s="27"/>
      <c r="CK390" s="27"/>
    </row>
    <row r="391" ht="14.25" customHeight="1">
      <c r="A391" s="118"/>
      <c r="B391" s="118"/>
      <c r="C391" s="118"/>
      <c r="D391" s="119"/>
      <c r="E391" s="119"/>
      <c r="F391" s="118"/>
      <c r="G391" s="118"/>
      <c r="H391" s="118"/>
      <c r="I391" s="118"/>
      <c r="AF391" s="22"/>
      <c r="AG391" s="22"/>
      <c r="AH391" s="22"/>
      <c r="AI391" s="22"/>
      <c r="AJ391" s="22"/>
      <c r="AK391" s="23"/>
      <c r="AN391" s="24"/>
      <c r="AO391" s="24"/>
      <c r="AX391" s="25"/>
      <c r="BR391" s="25"/>
      <c r="CF391" s="27"/>
      <c r="CG391" s="27"/>
      <c r="CH391" s="27"/>
      <c r="CI391" s="27"/>
      <c r="CJ391" s="27"/>
      <c r="CK391" s="27"/>
    </row>
    <row r="392" ht="14.25" customHeight="1">
      <c r="A392" s="118"/>
      <c r="B392" s="118"/>
      <c r="C392" s="118"/>
      <c r="D392" s="119"/>
      <c r="E392" s="119"/>
      <c r="F392" s="118"/>
      <c r="G392" s="118"/>
      <c r="H392" s="118"/>
      <c r="I392" s="118"/>
      <c r="AF392" s="22"/>
      <c r="AG392" s="22"/>
      <c r="AH392" s="22"/>
      <c r="AI392" s="22"/>
      <c r="AJ392" s="22"/>
      <c r="AK392" s="23"/>
      <c r="AN392" s="24"/>
      <c r="AO392" s="24"/>
      <c r="AX392" s="25"/>
      <c r="BR392" s="25"/>
      <c r="CF392" s="27"/>
      <c r="CG392" s="27"/>
      <c r="CH392" s="27"/>
      <c r="CI392" s="27"/>
      <c r="CJ392" s="27"/>
      <c r="CK392" s="27"/>
    </row>
    <row r="393" ht="14.25" customHeight="1">
      <c r="A393" s="118"/>
      <c r="B393" s="118"/>
      <c r="C393" s="118"/>
      <c r="D393" s="119"/>
      <c r="E393" s="119"/>
      <c r="F393" s="118"/>
      <c r="G393" s="118"/>
      <c r="H393" s="118"/>
      <c r="I393" s="118"/>
      <c r="AF393" s="22"/>
      <c r="AG393" s="22"/>
      <c r="AH393" s="22"/>
      <c r="AI393" s="22"/>
      <c r="AJ393" s="22"/>
      <c r="AK393" s="23"/>
      <c r="AN393" s="24"/>
      <c r="AO393" s="24"/>
      <c r="AX393" s="25"/>
      <c r="BR393" s="25"/>
      <c r="CF393" s="27"/>
      <c r="CG393" s="27"/>
      <c r="CH393" s="27"/>
      <c r="CI393" s="27"/>
      <c r="CJ393" s="27"/>
      <c r="CK393" s="27"/>
    </row>
    <row r="394" ht="14.25" customHeight="1">
      <c r="A394" s="118"/>
      <c r="B394" s="118"/>
      <c r="C394" s="118"/>
      <c r="D394" s="119"/>
      <c r="E394" s="119"/>
      <c r="F394" s="118"/>
      <c r="G394" s="118"/>
      <c r="H394" s="118"/>
      <c r="I394" s="118"/>
      <c r="AF394" s="22"/>
      <c r="AG394" s="22"/>
      <c r="AH394" s="22"/>
      <c r="AI394" s="22"/>
      <c r="AJ394" s="22"/>
      <c r="AK394" s="23"/>
      <c r="AN394" s="24"/>
      <c r="AO394" s="24"/>
      <c r="AX394" s="25"/>
      <c r="BR394" s="25"/>
      <c r="CF394" s="27"/>
      <c r="CG394" s="27"/>
      <c r="CH394" s="27"/>
      <c r="CI394" s="27"/>
      <c r="CJ394" s="27"/>
      <c r="CK394" s="27"/>
    </row>
    <row r="395" ht="14.25" customHeight="1">
      <c r="A395" s="118"/>
      <c r="B395" s="118"/>
      <c r="C395" s="118"/>
      <c r="D395" s="119"/>
      <c r="E395" s="119"/>
      <c r="F395" s="118"/>
      <c r="G395" s="118"/>
      <c r="H395" s="118"/>
      <c r="I395" s="118"/>
      <c r="AF395" s="22"/>
      <c r="AG395" s="22"/>
      <c r="AH395" s="22"/>
      <c r="AI395" s="22"/>
      <c r="AJ395" s="22"/>
      <c r="AK395" s="23"/>
      <c r="AN395" s="24"/>
      <c r="AO395" s="24"/>
      <c r="AX395" s="25"/>
      <c r="BR395" s="25"/>
      <c r="CF395" s="27"/>
      <c r="CG395" s="27"/>
      <c r="CH395" s="27"/>
      <c r="CI395" s="27"/>
      <c r="CJ395" s="27"/>
      <c r="CK395" s="27"/>
    </row>
    <row r="396" ht="14.25" customHeight="1">
      <c r="A396" s="118"/>
      <c r="B396" s="118"/>
      <c r="C396" s="118"/>
      <c r="D396" s="119"/>
      <c r="E396" s="119"/>
      <c r="F396" s="118"/>
      <c r="G396" s="118"/>
      <c r="H396" s="118"/>
      <c r="I396" s="118"/>
      <c r="AF396" s="22"/>
      <c r="AG396" s="22"/>
      <c r="AH396" s="22"/>
      <c r="AI396" s="22"/>
      <c r="AJ396" s="22"/>
      <c r="AK396" s="23"/>
      <c r="AN396" s="24"/>
      <c r="AO396" s="24"/>
      <c r="AX396" s="25"/>
      <c r="BR396" s="25"/>
      <c r="CF396" s="27"/>
      <c r="CG396" s="27"/>
      <c r="CH396" s="27"/>
      <c r="CI396" s="27"/>
      <c r="CJ396" s="27"/>
      <c r="CK396" s="27"/>
    </row>
    <row r="397" ht="14.25" customHeight="1">
      <c r="A397" s="118"/>
      <c r="B397" s="118"/>
      <c r="C397" s="118"/>
      <c r="D397" s="119"/>
      <c r="E397" s="119"/>
      <c r="F397" s="118"/>
      <c r="G397" s="118"/>
      <c r="H397" s="118"/>
      <c r="I397" s="118"/>
      <c r="AF397" s="22"/>
      <c r="AG397" s="22"/>
      <c r="AH397" s="22"/>
      <c r="AI397" s="22"/>
      <c r="AJ397" s="22"/>
      <c r="AK397" s="23"/>
      <c r="AN397" s="24"/>
      <c r="AO397" s="24"/>
      <c r="AX397" s="25"/>
      <c r="BR397" s="25"/>
      <c r="CF397" s="27"/>
      <c r="CG397" s="27"/>
      <c r="CH397" s="27"/>
      <c r="CI397" s="27"/>
      <c r="CJ397" s="27"/>
      <c r="CK397" s="27"/>
    </row>
    <row r="398" ht="14.25" customHeight="1">
      <c r="A398" s="118"/>
      <c r="B398" s="118"/>
      <c r="C398" s="118"/>
      <c r="D398" s="119"/>
      <c r="E398" s="119"/>
      <c r="F398" s="118"/>
      <c r="G398" s="118"/>
      <c r="H398" s="118"/>
      <c r="I398" s="118"/>
      <c r="AF398" s="22"/>
      <c r="AG398" s="22"/>
      <c r="AH398" s="22"/>
      <c r="AI398" s="22"/>
      <c r="AJ398" s="22"/>
      <c r="AK398" s="23"/>
      <c r="AN398" s="24"/>
      <c r="AO398" s="24"/>
      <c r="AX398" s="25"/>
      <c r="BR398" s="25"/>
      <c r="CF398" s="27"/>
      <c r="CG398" s="27"/>
      <c r="CH398" s="27"/>
      <c r="CI398" s="27"/>
      <c r="CJ398" s="27"/>
      <c r="CK398" s="27"/>
    </row>
    <row r="399" ht="14.25" customHeight="1">
      <c r="A399" s="118"/>
      <c r="B399" s="118"/>
      <c r="C399" s="118"/>
      <c r="D399" s="119"/>
      <c r="E399" s="119"/>
      <c r="F399" s="118"/>
      <c r="G399" s="118"/>
      <c r="H399" s="118"/>
      <c r="I399" s="118"/>
      <c r="AF399" s="22"/>
      <c r="AG399" s="22"/>
      <c r="AH399" s="22"/>
      <c r="AI399" s="22"/>
      <c r="AJ399" s="22"/>
      <c r="AK399" s="23"/>
      <c r="AN399" s="24"/>
      <c r="AO399" s="24"/>
      <c r="AX399" s="25"/>
      <c r="BR399" s="25"/>
      <c r="CF399" s="27"/>
      <c r="CG399" s="27"/>
      <c r="CH399" s="27"/>
      <c r="CI399" s="27"/>
      <c r="CJ399" s="27"/>
      <c r="CK399" s="27"/>
    </row>
    <row r="400" ht="14.25" customHeight="1">
      <c r="A400" s="118"/>
      <c r="B400" s="118"/>
      <c r="C400" s="118"/>
      <c r="D400" s="119"/>
      <c r="E400" s="119"/>
      <c r="F400" s="118"/>
      <c r="G400" s="118"/>
      <c r="H400" s="118"/>
      <c r="I400" s="118"/>
      <c r="AF400" s="22"/>
      <c r="AG400" s="22"/>
      <c r="AH400" s="22"/>
      <c r="AI400" s="22"/>
      <c r="AJ400" s="22"/>
      <c r="AK400" s="23"/>
      <c r="AN400" s="24"/>
      <c r="AO400" s="24"/>
      <c r="AX400" s="25"/>
      <c r="BR400" s="25"/>
      <c r="CF400" s="27"/>
      <c r="CG400" s="27"/>
      <c r="CH400" s="27"/>
      <c r="CI400" s="27"/>
      <c r="CJ400" s="27"/>
      <c r="CK400" s="27"/>
    </row>
    <row r="401" ht="14.25" customHeight="1">
      <c r="A401" s="118"/>
      <c r="B401" s="118"/>
      <c r="C401" s="118"/>
      <c r="D401" s="119"/>
      <c r="E401" s="119"/>
      <c r="F401" s="118"/>
      <c r="G401" s="118"/>
      <c r="H401" s="118"/>
      <c r="I401" s="118"/>
      <c r="AF401" s="22"/>
      <c r="AG401" s="22"/>
      <c r="AH401" s="22"/>
      <c r="AI401" s="22"/>
      <c r="AJ401" s="22"/>
      <c r="AK401" s="23"/>
      <c r="AN401" s="24"/>
      <c r="AO401" s="24"/>
      <c r="AX401" s="25"/>
      <c r="BR401" s="25"/>
      <c r="CF401" s="27"/>
      <c r="CG401" s="27"/>
      <c r="CH401" s="27"/>
      <c r="CI401" s="27"/>
      <c r="CJ401" s="27"/>
      <c r="CK401" s="27"/>
    </row>
    <row r="402" ht="14.25" customHeight="1">
      <c r="A402" s="118"/>
      <c r="B402" s="118"/>
      <c r="C402" s="118"/>
      <c r="D402" s="119"/>
      <c r="E402" s="119"/>
      <c r="F402" s="118"/>
      <c r="G402" s="118"/>
      <c r="H402" s="118"/>
      <c r="I402" s="118"/>
      <c r="AF402" s="22"/>
      <c r="AG402" s="22"/>
      <c r="AH402" s="22"/>
      <c r="AI402" s="22"/>
      <c r="AJ402" s="22"/>
      <c r="AK402" s="23"/>
      <c r="AN402" s="24"/>
      <c r="AO402" s="24"/>
      <c r="AX402" s="25"/>
      <c r="BR402" s="25"/>
      <c r="CF402" s="27"/>
      <c r="CG402" s="27"/>
      <c r="CH402" s="27"/>
      <c r="CI402" s="27"/>
      <c r="CJ402" s="27"/>
      <c r="CK402" s="27"/>
    </row>
    <row r="403" ht="14.25" customHeight="1">
      <c r="A403" s="118"/>
      <c r="B403" s="118"/>
      <c r="C403" s="118"/>
      <c r="D403" s="119"/>
      <c r="E403" s="119"/>
      <c r="F403" s="118"/>
      <c r="G403" s="118"/>
      <c r="H403" s="118"/>
      <c r="I403" s="118"/>
      <c r="AF403" s="22"/>
      <c r="AG403" s="22"/>
      <c r="AH403" s="22"/>
      <c r="AI403" s="22"/>
      <c r="AJ403" s="22"/>
      <c r="AK403" s="23"/>
      <c r="AN403" s="24"/>
      <c r="AO403" s="24"/>
      <c r="AX403" s="25"/>
      <c r="BR403" s="25"/>
      <c r="CF403" s="27"/>
      <c r="CG403" s="27"/>
      <c r="CH403" s="27"/>
      <c r="CI403" s="27"/>
      <c r="CJ403" s="27"/>
      <c r="CK403" s="27"/>
    </row>
    <row r="404" ht="14.25" customHeight="1">
      <c r="A404" s="118"/>
      <c r="B404" s="118"/>
      <c r="C404" s="118"/>
      <c r="D404" s="119"/>
      <c r="E404" s="119"/>
      <c r="F404" s="118"/>
      <c r="G404" s="118"/>
      <c r="H404" s="118"/>
      <c r="I404" s="118"/>
      <c r="AF404" s="22"/>
      <c r="AG404" s="22"/>
      <c r="AH404" s="22"/>
      <c r="AI404" s="22"/>
      <c r="AJ404" s="22"/>
      <c r="AK404" s="23"/>
      <c r="AN404" s="24"/>
      <c r="AO404" s="24"/>
      <c r="AX404" s="25"/>
      <c r="BR404" s="25"/>
      <c r="CF404" s="27"/>
      <c r="CG404" s="27"/>
      <c r="CH404" s="27"/>
      <c r="CI404" s="27"/>
      <c r="CJ404" s="27"/>
      <c r="CK404" s="27"/>
    </row>
    <row r="405" ht="14.25" customHeight="1">
      <c r="A405" s="118"/>
      <c r="B405" s="118"/>
      <c r="C405" s="118"/>
      <c r="D405" s="119"/>
      <c r="E405" s="119"/>
      <c r="F405" s="118"/>
      <c r="G405" s="118"/>
      <c r="H405" s="118"/>
      <c r="I405" s="118"/>
      <c r="AF405" s="22"/>
      <c r="AG405" s="22"/>
      <c r="AH405" s="22"/>
      <c r="AI405" s="22"/>
      <c r="AJ405" s="22"/>
      <c r="AK405" s="23"/>
      <c r="AN405" s="24"/>
      <c r="AO405" s="24"/>
      <c r="AX405" s="25"/>
      <c r="BR405" s="25"/>
      <c r="CF405" s="27"/>
      <c r="CG405" s="27"/>
      <c r="CH405" s="27"/>
      <c r="CI405" s="27"/>
      <c r="CJ405" s="27"/>
      <c r="CK405" s="27"/>
    </row>
    <row r="406" ht="14.25" customHeight="1">
      <c r="A406" s="118"/>
      <c r="B406" s="118"/>
      <c r="C406" s="118"/>
      <c r="D406" s="119"/>
      <c r="E406" s="119"/>
      <c r="F406" s="118"/>
      <c r="G406" s="118"/>
      <c r="H406" s="118"/>
      <c r="I406" s="118"/>
      <c r="AF406" s="22"/>
      <c r="AG406" s="22"/>
      <c r="AH406" s="22"/>
      <c r="AI406" s="22"/>
      <c r="AJ406" s="22"/>
      <c r="AK406" s="23"/>
      <c r="AN406" s="24"/>
      <c r="AO406" s="24"/>
      <c r="AX406" s="25"/>
      <c r="BR406" s="25"/>
      <c r="CF406" s="27"/>
      <c r="CG406" s="27"/>
      <c r="CH406" s="27"/>
      <c r="CI406" s="27"/>
      <c r="CJ406" s="27"/>
      <c r="CK406" s="27"/>
    </row>
    <row r="407" ht="14.25" customHeight="1">
      <c r="A407" s="118"/>
      <c r="B407" s="118"/>
      <c r="C407" s="118"/>
      <c r="D407" s="119"/>
      <c r="E407" s="119"/>
      <c r="F407" s="118"/>
      <c r="G407" s="118"/>
      <c r="H407" s="118"/>
      <c r="I407" s="118"/>
      <c r="AF407" s="22"/>
      <c r="AG407" s="22"/>
      <c r="AH407" s="22"/>
      <c r="AI407" s="22"/>
      <c r="AJ407" s="22"/>
      <c r="AK407" s="23"/>
      <c r="AN407" s="24"/>
      <c r="AO407" s="24"/>
      <c r="AX407" s="25"/>
      <c r="BR407" s="25"/>
      <c r="CF407" s="27"/>
      <c r="CG407" s="27"/>
      <c r="CH407" s="27"/>
      <c r="CI407" s="27"/>
      <c r="CJ407" s="27"/>
      <c r="CK407" s="27"/>
    </row>
    <row r="408" ht="14.25" customHeight="1">
      <c r="A408" s="118"/>
      <c r="B408" s="118"/>
      <c r="C408" s="118"/>
      <c r="D408" s="119"/>
      <c r="E408" s="119"/>
      <c r="F408" s="118"/>
      <c r="G408" s="118"/>
      <c r="H408" s="118"/>
      <c r="I408" s="118"/>
      <c r="AF408" s="22"/>
      <c r="AG408" s="22"/>
      <c r="AH408" s="22"/>
      <c r="AI408" s="22"/>
      <c r="AJ408" s="22"/>
      <c r="AK408" s="23"/>
      <c r="AN408" s="24"/>
      <c r="AO408" s="24"/>
      <c r="AX408" s="25"/>
      <c r="BR408" s="25"/>
      <c r="CF408" s="27"/>
      <c r="CG408" s="27"/>
      <c r="CH408" s="27"/>
      <c r="CI408" s="27"/>
      <c r="CJ408" s="27"/>
      <c r="CK408" s="27"/>
    </row>
    <row r="409" ht="14.25" customHeight="1">
      <c r="A409" s="118"/>
      <c r="B409" s="118"/>
      <c r="C409" s="118"/>
      <c r="D409" s="119"/>
      <c r="E409" s="119"/>
      <c r="F409" s="118"/>
      <c r="G409" s="118"/>
      <c r="H409" s="118"/>
      <c r="I409" s="118"/>
      <c r="AF409" s="22"/>
      <c r="AG409" s="22"/>
      <c r="AH409" s="22"/>
      <c r="AI409" s="22"/>
      <c r="AJ409" s="22"/>
      <c r="AK409" s="23"/>
      <c r="AN409" s="24"/>
      <c r="AO409" s="24"/>
      <c r="AX409" s="25"/>
      <c r="BR409" s="25"/>
      <c r="CF409" s="27"/>
      <c r="CG409" s="27"/>
      <c r="CH409" s="27"/>
      <c r="CI409" s="27"/>
      <c r="CJ409" s="27"/>
      <c r="CK409" s="27"/>
    </row>
    <row r="410" ht="14.25" customHeight="1">
      <c r="A410" s="118"/>
      <c r="B410" s="118"/>
      <c r="C410" s="118"/>
      <c r="D410" s="119"/>
      <c r="E410" s="119"/>
      <c r="F410" s="118"/>
      <c r="G410" s="118"/>
      <c r="H410" s="118"/>
      <c r="I410" s="118"/>
      <c r="AF410" s="22"/>
      <c r="AG410" s="22"/>
      <c r="AH410" s="22"/>
      <c r="AI410" s="22"/>
      <c r="AJ410" s="22"/>
      <c r="AK410" s="23"/>
      <c r="AN410" s="24"/>
      <c r="AO410" s="24"/>
      <c r="AX410" s="25"/>
      <c r="BR410" s="25"/>
      <c r="CF410" s="27"/>
      <c r="CG410" s="27"/>
      <c r="CH410" s="27"/>
      <c r="CI410" s="27"/>
      <c r="CJ410" s="27"/>
      <c r="CK410" s="27"/>
    </row>
    <row r="411" ht="14.25" customHeight="1">
      <c r="A411" s="118"/>
      <c r="B411" s="118"/>
      <c r="C411" s="118"/>
      <c r="D411" s="119"/>
      <c r="E411" s="119"/>
      <c r="F411" s="118"/>
      <c r="G411" s="118"/>
      <c r="H411" s="118"/>
      <c r="I411" s="118"/>
      <c r="AF411" s="22"/>
      <c r="AG411" s="22"/>
      <c r="AH411" s="22"/>
      <c r="AI411" s="22"/>
      <c r="AJ411" s="22"/>
      <c r="AK411" s="23"/>
      <c r="AN411" s="24"/>
      <c r="AO411" s="24"/>
      <c r="AX411" s="25"/>
      <c r="BR411" s="25"/>
      <c r="CF411" s="27"/>
      <c r="CG411" s="27"/>
      <c r="CH411" s="27"/>
      <c r="CI411" s="27"/>
      <c r="CJ411" s="27"/>
      <c r="CK411" s="27"/>
    </row>
    <row r="412" ht="14.25" customHeight="1">
      <c r="A412" s="118"/>
      <c r="B412" s="118"/>
      <c r="C412" s="118"/>
      <c r="D412" s="119"/>
      <c r="E412" s="119"/>
      <c r="F412" s="118"/>
      <c r="G412" s="118"/>
      <c r="H412" s="118"/>
      <c r="I412" s="118"/>
      <c r="AF412" s="22"/>
      <c r="AG412" s="22"/>
      <c r="AH412" s="22"/>
      <c r="AI412" s="22"/>
      <c r="AJ412" s="22"/>
      <c r="AK412" s="23"/>
      <c r="AN412" s="24"/>
      <c r="AO412" s="24"/>
      <c r="AX412" s="25"/>
      <c r="BR412" s="25"/>
      <c r="CF412" s="27"/>
      <c r="CG412" s="27"/>
      <c r="CH412" s="27"/>
      <c r="CI412" s="27"/>
      <c r="CJ412" s="27"/>
      <c r="CK412" s="27"/>
    </row>
    <row r="413" ht="14.25" customHeight="1">
      <c r="A413" s="118"/>
      <c r="B413" s="118"/>
      <c r="C413" s="118"/>
      <c r="D413" s="119"/>
      <c r="E413" s="119"/>
      <c r="F413" s="118"/>
      <c r="G413" s="118"/>
      <c r="H413" s="118"/>
      <c r="I413" s="118"/>
      <c r="AF413" s="22"/>
      <c r="AG413" s="22"/>
      <c r="AH413" s="22"/>
      <c r="AI413" s="22"/>
      <c r="AJ413" s="22"/>
      <c r="AK413" s="23"/>
      <c r="AN413" s="24"/>
      <c r="AO413" s="24"/>
      <c r="AX413" s="25"/>
      <c r="BR413" s="25"/>
      <c r="CF413" s="27"/>
      <c r="CG413" s="27"/>
      <c r="CH413" s="27"/>
      <c r="CI413" s="27"/>
      <c r="CJ413" s="27"/>
      <c r="CK413" s="27"/>
    </row>
    <row r="414" ht="14.25" customHeight="1">
      <c r="A414" s="118"/>
      <c r="B414" s="118"/>
      <c r="C414" s="118"/>
      <c r="D414" s="119"/>
      <c r="E414" s="119"/>
      <c r="F414" s="118"/>
      <c r="G414" s="118"/>
      <c r="H414" s="118"/>
      <c r="I414" s="118"/>
      <c r="AF414" s="22"/>
      <c r="AG414" s="22"/>
      <c r="AH414" s="22"/>
      <c r="AI414" s="22"/>
      <c r="AJ414" s="22"/>
      <c r="AK414" s="23"/>
      <c r="AN414" s="24"/>
      <c r="AO414" s="24"/>
      <c r="AX414" s="25"/>
      <c r="BR414" s="25"/>
      <c r="CF414" s="27"/>
      <c r="CG414" s="27"/>
      <c r="CH414" s="27"/>
      <c r="CI414" s="27"/>
      <c r="CJ414" s="27"/>
      <c r="CK414" s="27"/>
    </row>
    <row r="415" ht="14.25" customHeight="1">
      <c r="A415" s="118"/>
      <c r="B415" s="118"/>
      <c r="C415" s="118"/>
      <c r="D415" s="119"/>
      <c r="E415" s="119"/>
      <c r="F415" s="118"/>
      <c r="G415" s="118"/>
      <c r="H415" s="118"/>
      <c r="I415" s="118"/>
      <c r="AF415" s="22"/>
      <c r="AG415" s="22"/>
      <c r="AH415" s="22"/>
      <c r="AI415" s="22"/>
      <c r="AJ415" s="22"/>
      <c r="AK415" s="23"/>
      <c r="AN415" s="24"/>
      <c r="AO415" s="24"/>
      <c r="AX415" s="25"/>
      <c r="BR415" s="25"/>
      <c r="CF415" s="27"/>
      <c r="CG415" s="27"/>
      <c r="CH415" s="27"/>
      <c r="CI415" s="27"/>
      <c r="CJ415" s="27"/>
      <c r="CK415" s="27"/>
    </row>
    <row r="416" ht="14.25" customHeight="1">
      <c r="A416" s="118"/>
      <c r="B416" s="118"/>
      <c r="C416" s="118"/>
      <c r="D416" s="119"/>
      <c r="E416" s="119"/>
      <c r="F416" s="118"/>
      <c r="G416" s="118"/>
      <c r="H416" s="118"/>
      <c r="I416" s="118"/>
      <c r="AF416" s="22"/>
      <c r="AG416" s="22"/>
      <c r="AH416" s="22"/>
      <c r="AI416" s="22"/>
      <c r="AJ416" s="22"/>
      <c r="AK416" s="23"/>
      <c r="AN416" s="24"/>
      <c r="AO416" s="24"/>
      <c r="AX416" s="25"/>
      <c r="BR416" s="25"/>
      <c r="CF416" s="27"/>
      <c r="CG416" s="27"/>
      <c r="CH416" s="27"/>
      <c r="CI416" s="27"/>
      <c r="CJ416" s="27"/>
      <c r="CK416" s="27"/>
    </row>
    <row r="417" ht="14.25" customHeight="1">
      <c r="A417" s="118"/>
      <c r="B417" s="118"/>
      <c r="C417" s="118"/>
      <c r="D417" s="119"/>
      <c r="E417" s="119"/>
      <c r="F417" s="118"/>
      <c r="G417" s="118"/>
      <c r="H417" s="118"/>
      <c r="I417" s="118"/>
      <c r="AF417" s="22"/>
      <c r="AG417" s="22"/>
      <c r="AH417" s="22"/>
      <c r="AI417" s="22"/>
      <c r="AJ417" s="22"/>
      <c r="AK417" s="23"/>
      <c r="AN417" s="24"/>
      <c r="AO417" s="24"/>
      <c r="AX417" s="25"/>
      <c r="BR417" s="25"/>
      <c r="CF417" s="27"/>
      <c r="CG417" s="27"/>
      <c r="CH417" s="27"/>
      <c r="CI417" s="27"/>
      <c r="CJ417" s="27"/>
      <c r="CK417" s="27"/>
    </row>
    <row r="418" ht="14.25" customHeight="1">
      <c r="A418" s="118"/>
      <c r="B418" s="118"/>
      <c r="C418" s="118"/>
      <c r="D418" s="119"/>
      <c r="E418" s="119"/>
      <c r="F418" s="118"/>
      <c r="G418" s="118"/>
      <c r="H418" s="118"/>
      <c r="I418" s="118"/>
      <c r="AF418" s="22"/>
      <c r="AG418" s="22"/>
      <c r="AH418" s="22"/>
      <c r="AI418" s="22"/>
      <c r="AJ418" s="22"/>
      <c r="AK418" s="23"/>
      <c r="AN418" s="24"/>
      <c r="AO418" s="24"/>
      <c r="AX418" s="25"/>
      <c r="BR418" s="25"/>
      <c r="CF418" s="27"/>
      <c r="CG418" s="27"/>
      <c r="CH418" s="27"/>
      <c r="CI418" s="27"/>
      <c r="CJ418" s="27"/>
      <c r="CK418" s="27"/>
    </row>
    <row r="419" ht="14.25" customHeight="1">
      <c r="A419" s="118"/>
      <c r="B419" s="118"/>
      <c r="C419" s="118"/>
      <c r="D419" s="119"/>
      <c r="E419" s="119"/>
      <c r="F419" s="118"/>
      <c r="G419" s="118"/>
      <c r="H419" s="118"/>
      <c r="I419" s="118"/>
      <c r="AF419" s="22"/>
      <c r="AG419" s="22"/>
      <c r="AH419" s="22"/>
      <c r="AI419" s="22"/>
      <c r="AJ419" s="22"/>
      <c r="AK419" s="23"/>
      <c r="AN419" s="24"/>
      <c r="AO419" s="24"/>
      <c r="AX419" s="25"/>
      <c r="BR419" s="25"/>
      <c r="CF419" s="27"/>
      <c r="CG419" s="27"/>
      <c r="CH419" s="27"/>
      <c r="CI419" s="27"/>
      <c r="CJ419" s="27"/>
      <c r="CK419" s="27"/>
    </row>
    <row r="420" ht="14.25" customHeight="1">
      <c r="A420" s="118"/>
      <c r="B420" s="118"/>
      <c r="C420" s="118"/>
      <c r="D420" s="119"/>
      <c r="E420" s="119"/>
      <c r="F420" s="118"/>
      <c r="G420" s="118"/>
      <c r="H420" s="118"/>
      <c r="I420" s="118"/>
      <c r="AF420" s="22"/>
      <c r="AG420" s="22"/>
      <c r="AH420" s="22"/>
      <c r="AI420" s="22"/>
      <c r="AJ420" s="22"/>
      <c r="AK420" s="23"/>
      <c r="AN420" s="24"/>
      <c r="AO420" s="24"/>
      <c r="AX420" s="25"/>
      <c r="BR420" s="25"/>
      <c r="CF420" s="27"/>
      <c r="CG420" s="27"/>
      <c r="CH420" s="27"/>
      <c r="CI420" s="27"/>
      <c r="CJ420" s="27"/>
      <c r="CK420" s="27"/>
    </row>
    <row r="421" ht="14.25" customHeight="1">
      <c r="A421" s="118"/>
      <c r="B421" s="118"/>
      <c r="C421" s="118"/>
      <c r="D421" s="119"/>
      <c r="E421" s="119"/>
      <c r="F421" s="118"/>
      <c r="G421" s="118"/>
      <c r="H421" s="118"/>
      <c r="I421" s="118"/>
      <c r="AF421" s="22"/>
      <c r="AG421" s="22"/>
      <c r="AH421" s="22"/>
      <c r="AI421" s="22"/>
      <c r="AJ421" s="22"/>
      <c r="AK421" s="23"/>
      <c r="AN421" s="24"/>
      <c r="AO421" s="24"/>
      <c r="AX421" s="25"/>
      <c r="BR421" s="25"/>
      <c r="CF421" s="27"/>
      <c r="CG421" s="27"/>
      <c r="CH421" s="27"/>
      <c r="CI421" s="27"/>
      <c r="CJ421" s="27"/>
      <c r="CK421" s="27"/>
    </row>
    <row r="422" ht="14.25" customHeight="1">
      <c r="A422" s="118"/>
      <c r="B422" s="118"/>
      <c r="C422" s="118"/>
      <c r="D422" s="119"/>
      <c r="E422" s="119"/>
      <c r="F422" s="118"/>
      <c r="G422" s="118"/>
      <c r="H422" s="118"/>
      <c r="I422" s="118"/>
      <c r="AF422" s="22"/>
      <c r="AG422" s="22"/>
      <c r="AH422" s="22"/>
      <c r="AI422" s="22"/>
      <c r="AJ422" s="22"/>
      <c r="AK422" s="23"/>
      <c r="AN422" s="24"/>
      <c r="AO422" s="24"/>
      <c r="AX422" s="25"/>
      <c r="BR422" s="25"/>
      <c r="CF422" s="27"/>
      <c r="CG422" s="27"/>
      <c r="CH422" s="27"/>
      <c r="CI422" s="27"/>
      <c r="CJ422" s="27"/>
      <c r="CK422" s="27"/>
    </row>
    <row r="423" ht="14.25" customHeight="1">
      <c r="A423" s="118"/>
      <c r="B423" s="118"/>
      <c r="C423" s="118"/>
      <c r="D423" s="119"/>
      <c r="E423" s="119"/>
      <c r="F423" s="118"/>
      <c r="G423" s="118"/>
      <c r="H423" s="118"/>
      <c r="I423" s="118"/>
      <c r="AF423" s="22"/>
      <c r="AG423" s="22"/>
      <c r="AH423" s="22"/>
      <c r="AI423" s="22"/>
      <c r="AJ423" s="22"/>
      <c r="AK423" s="23"/>
      <c r="AN423" s="24"/>
      <c r="AO423" s="24"/>
      <c r="AX423" s="25"/>
      <c r="BR423" s="25"/>
      <c r="CF423" s="27"/>
      <c r="CG423" s="27"/>
      <c r="CH423" s="27"/>
      <c r="CI423" s="27"/>
      <c r="CJ423" s="27"/>
      <c r="CK423" s="27"/>
    </row>
    <row r="424" ht="14.25" customHeight="1">
      <c r="A424" s="118"/>
      <c r="B424" s="118"/>
      <c r="C424" s="118"/>
      <c r="D424" s="119"/>
      <c r="E424" s="119"/>
      <c r="F424" s="118"/>
      <c r="G424" s="118"/>
      <c r="H424" s="118"/>
      <c r="I424" s="118"/>
      <c r="AF424" s="22"/>
      <c r="AG424" s="22"/>
      <c r="AH424" s="22"/>
      <c r="AI424" s="22"/>
      <c r="AJ424" s="22"/>
      <c r="AK424" s="23"/>
      <c r="AN424" s="24"/>
      <c r="AO424" s="24"/>
      <c r="AX424" s="25"/>
      <c r="BR424" s="25"/>
      <c r="CF424" s="27"/>
      <c r="CG424" s="27"/>
      <c r="CH424" s="27"/>
      <c r="CI424" s="27"/>
      <c r="CJ424" s="27"/>
      <c r="CK424" s="27"/>
    </row>
    <row r="425" ht="14.25" customHeight="1">
      <c r="A425" s="118"/>
      <c r="B425" s="118"/>
      <c r="C425" s="118"/>
      <c r="D425" s="119"/>
      <c r="E425" s="119"/>
      <c r="F425" s="118"/>
      <c r="G425" s="118"/>
      <c r="H425" s="118"/>
      <c r="I425" s="118"/>
      <c r="AF425" s="22"/>
      <c r="AG425" s="22"/>
      <c r="AH425" s="22"/>
      <c r="AI425" s="22"/>
      <c r="AJ425" s="22"/>
      <c r="AK425" s="23"/>
      <c r="AN425" s="24"/>
      <c r="AO425" s="24"/>
      <c r="AX425" s="25"/>
      <c r="BR425" s="25"/>
      <c r="CF425" s="27"/>
      <c r="CG425" s="27"/>
      <c r="CH425" s="27"/>
      <c r="CI425" s="27"/>
      <c r="CJ425" s="27"/>
      <c r="CK425" s="27"/>
    </row>
    <row r="426" ht="14.25" customHeight="1">
      <c r="A426" s="118"/>
      <c r="B426" s="118"/>
      <c r="C426" s="118"/>
      <c r="D426" s="119"/>
      <c r="E426" s="119"/>
      <c r="F426" s="118"/>
      <c r="G426" s="118"/>
      <c r="H426" s="118"/>
      <c r="I426" s="118"/>
      <c r="AF426" s="22"/>
      <c r="AG426" s="22"/>
      <c r="AH426" s="22"/>
      <c r="AI426" s="22"/>
      <c r="AJ426" s="22"/>
      <c r="AK426" s="23"/>
      <c r="AN426" s="24"/>
      <c r="AO426" s="24"/>
      <c r="AX426" s="25"/>
      <c r="BR426" s="25"/>
      <c r="CF426" s="27"/>
      <c r="CG426" s="27"/>
      <c r="CH426" s="27"/>
      <c r="CI426" s="27"/>
      <c r="CJ426" s="27"/>
      <c r="CK426" s="27"/>
    </row>
    <row r="427" ht="14.25" customHeight="1">
      <c r="A427" s="118"/>
      <c r="B427" s="118"/>
      <c r="C427" s="118"/>
      <c r="D427" s="119"/>
      <c r="E427" s="119"/>
      <c r="F427" s="118"/>
      <c r="G427" s="118"/>
      <c r="H427" s="118"/>
      <c r="I427" s="118"/>
      <c r="AF427" s="22"/>
      <c r="AG427" s="22"/>
      <c r="AH427" s="22"/>
      <c r="AI427" s="22"/>
      <c r="AJ427" s="22"/>
      <c r="AK427" s="23"/>
      <c r="AN427" s="24"/>
      <c r="AO427" s="24"/>
      <c r="AX427" s="25"/>
      <c r="BR427" s="25"/>
      <c r="CF427" s="27"/>
      <c r="CG427" s="27"/>
      <c r="CH427" s="27"/>
      <c r="CI427" s="27"/>
      <c r="CJ427" s="27"/>
      <c r="CK427" s="27"/>
    </row>
    <row r="428" ht="14.25" customHeight="1">
      <c r="A428" s="118"/>
      <c r="B428" s="118"/>
      <c r="C428" s="118"/>
      <c r="D428" s="119"/>
      <c r="E428" s="119"/>
      <c r="F428" s="118"/>
      <c r="G428" s="118"/>
      <c r="H428" s="118"/>
      <c r="I428" s="118"/>
      <c r="AF428" s="22"/>
      <c r="AG428" s="22"/>
      <c r="AH428" s="22"/>
      <c r="AI428" s="22"/>
      <c r="AJ428" s="22"/>
      <c r="AK428" s="23"/>
      <c r="AN428" s="24"/>
      <c r="AO428" s="24"/>
      <c r="AX428" s="25"/>
      <c r="BR428" s="25"/>
      <c r="CF428" s="27"/>
      <c r="CG428" s="27"/>
      <c r="CH428" s="27"/>
      <c r="CI428" s="27"/>
      <c r="CJ428" s="27"/>
      <c r="CK428" s="27"/>
    </row>
    <row r="429" ht="14.25" customHeight="1">
      <c r="A429" s="118"/>
      <c r="B429" s="118"/>
      <c r="C429" s="118"/>
      <c r="D429" s="119"/>
      <c r="E429" s="119"/>
      <c r="F429" s="118"/>
      <c r="G429" s="118"/>
      <c r="H429" s="118"/>
      <c r="I429" s="118"/>
      <c r="AF429" s="22"/>
      <c r="AG429" s="22"/>
      <c r="AH429" s="22"/>
      <c r="AI429" s="22"/>
      <c r="AJ429" s="22"/>
      <c r="AK429" s="23"/>
      <c r="AN429" s="24"/>
      <c r="AO429" s="24"/>
      <c r="AX429" s="25"/>
      <c r="BR429" s="25"/>
      <c r="CF429" s="27"/>
      <c r="CG429" s="27"/>
      <c r="CH429" s="27"/>
      <c r="CI429" s="27"/>
      <c r="CJ429" s="27"/>
      <c r="CK429" s="27"/>
    </row>
    <row r="430" ht="14.25" customHeight="1">
      <c r="A430" s="118"/>
      <c r="B430" s="118"/>
      <c r="C430" s="118"/>
      <c r="D430" s="119"/>
      <c r="E430" s="119"/>
      <c r="F430" s="118"/>
      <c r="G430" s="118"/>
      <c r="H430" s="118"/>
      <c r="I430" s="118"/>
      <c r="AF430" s="22"/>
      <c r="AG430" s="22"/>
      <c r="AH430" s="22"/>
      <c r="AI430" s="22"/>
      <c r="AJ430" s="22"/>
      <c r="AK430" s="23"/>
      <c r="AN430" s="24"/>
      <c r="AO430" s="24"/>
      <c r="AX430" s="25"/>
      <c r="BR430" s="25"/>
      <c r="CF430" s="27"/>
      <c r="CG430" s="27"/>
      <c r="CH430" s="27"/>
      <c r="CI430" s="27"/>
      <c r="CJ430" s="27"/>
      <c r="CK430" s="27"/>
    </row>
    <row r="431" ht="14.25" customHeight="1">
      <c r="A431" s="118"/>
      <c r="B431" s="118"/>
      <c r="C431" s="118"/>
      <c r="D431" s="119"/>
      <c r="E431" s="119"/>
      <c r="F431" s="118"/>
      <c r="G431" s="118"/>
      <c r="H431" s="118"/>
      <c r="I431" s="118"/>
      <c r="AF431" s="22"/>
      <c r="AG431" s="22"/>
      <c r="AH431" s="22"/>
      <c r="AI431" s="22"/>
      <c r="AJ431" s="22"/>
      <c r="AK431" s="23"/>
      <c r="AN431" s="24"/>
      <c r="AO431" s="24"/>
      <c r="AX431" s="25"/>
      <c r="BR431" s="25"/>
      <c r="CF431" s="27"/>
      <c r="CG431" s="27"/>
      <c r="CH431" s="27"/>
      <c r="CI431" s="27"/>
      <c r="CJ431" s="27"/>
      <c r="CK431" s="27"/>
    </row>
    <row r="432" ht="14.25" customHeight="1">
      <c r="A432" s="118"/>
      <c r="B432" s="118"/>
      <c r="C432" s="118"/>
      <c r="D432" s="119"/>
      <c r="E432" s="119"/>
      <c r="F432" s="118"/>
      <c r="G432" s="118"/>
      <c r="H432" s="118"/>
      <c r="I432" s="118"/>
      <c r="AF432" s="22"/>
      <c r="AG432" s="22"/>
      <c r="AH432" s="22"/>
      <c r="AI432" s="22"/>
      <c r="AJ432" s="22"/>
      <c r="AK432" s="23"/>
      <c r="AN432" s="24"/>
      <c r="AO432" s="24"/>
      <c r="AX432" s="25"/>
      <c r="BR432" s="25"/>
      <c r="CF432" s="27"/>
      <c r="CG432" s="27"/>
      <c r="CH432" s="27"/>
      <c r="CI432" s="27"/>
      <c r="CJ432" s="27"/>
      <c r="CK432" s="27"/>
    </row>
    <row r="433" ht="14.25" customHeight="1">
      <c r="A433" s="118"/>
      <c r="B433" s="118"/>
      <c r="C433" s="118"/>
      <c r="D433" s="119"/>
      <c r="E433" s="119"/>
      <c r="F433" s="118"/>
      <c r="G433" s="118"/>
      <c r="H433" s="118"/>
      <c r="I433" s="118"/>
      <c r="AF433" s="22"/>
      <c r="AG433" s="22"/>
      <c r="AH433" s="22"/>
      <c r="AI433" s="22"/>
      <c r="AJ433" s="22"/>
      <c r="AK433" s="23"/>
      <c r="AN433" s="24"/>
      <c r="AO433" s="24"/>
      <c r="AX433" s="25"/>
      <c r="BR433" s="25"/>
      <c r="CF433" s="27"/>
      <c r="CG433" s="27"/>
      <c r="CH433" s="27"/>
      <c r="CI433" s="27"/>
      <c r="CJ433" s="27"/>
      <c r="CK433" s="27"/>
    </row>
    <row r="434" ht="14.25" customHeight="1">
      <c r="A434" s="118"/>
      <c r="B434" s="118"/>
      <c r="C434" s="118"/>
      <c r="D434" s="119"/>
      <c r="E434" s="119"/>
      <c r="F434" s="118"/>
      <c r="G434" s="118"/>
      <c r="H434" s="118"/>
      <c r="I434" s="118"/>
      <c r="AF434" s="22"/>
      <c r="AG434" s="22"/>
      <c r="AH434" s="22"/>
      <c r="AI434" s="22"/>
      <c r="AJ434" s="22"/>
      <c r="AK434" s="23"/>
      <c r="AN434" s="24"/>
      <c r="AO434" s="24"/>
      <c r="AX434" s="25"/>
      <c r="BR434" s="25"/>
      <c r="CF434" s="27"/>
      <c r="CG434" s="27"/>
      <c r="CH434" s="27"/>
      <c r="CI434" s="27"/>
      <c r="CJ434" s="27"/>
      <c r="CK434" s="27"/>
    </row>
    <row r="435" ht="14.25" customHeight="1">
      <c r="A435" s="118"/>
      <c r="B435" s="118"/>
      <c r="C435" s="118"/>
      <c r="D435" s="119"/>
      <c r="E435" s="119"/>
      <c r="F435" s="118"/>
      <c r="G435" s="118"/>
      <c r="H435" s="118"/>
      <c r="I435" s="118"/>
      <c r="AF435" s="22"/>
      <c r="AG435" s="22"/>
      <c r="AH435" s="22"/>
      <c r="AI435" s="22"/>
      <c r="AJ435" s="22"/>
      <c r="AK435" s="23"/>
      <c r="AN435" s="24"/>
      <c r="AO435" s="24"/>
      <c r="AX435" s="25"/>
      <c r="BR435" s="25"/>
      <c r="CF435" s="27"/>
      <c r="CG435" s="27"/>
      <c r="CH435" s="27"/>
      <c r="CI435" s="27"/>
      <c r="CJ435" s="27"/>
      <c r="CK435" s="27"/>
    </row>
    <row r="436" ht="14.25" customHeight="1">
      <c r="A436" s="118"/>
      <c r="B436" s="118"/>
      <c r="C436" s="118"/>
      <c r="D436" s="119"/>
      <c r="E436" s="119"/>
      <c r="F436" s="118"/>
      <c r="G436" s="118"/>
      <c r="H436" s="118"/>
      <c r="I436" s="118"/>
      <c r="AF436" s="22"/>
      <c r="AG436" s="22"/>
      <c r="AH436" s="22"/>
      <c r="AI436" s="22"/>
      <c r="AJ436" s="22"/>
      <c r="AK436" s="23"/>
      <c r="AN436" s="24"/>
      <c r="AO436" s="24"/>
      <c r="AX436" s="25"/>
      <c r="BR436" s="25"/>
      <c r="CF436" s="27"/>
      <c r="CG436" s="27"/>
      <c r="CH436" s="27"/>
      <c r="CI436" s="27"/>
      <c r="CJ436" s="27"/>
      <c r="CK436" s="27"/>
    </row>
    <row r="437" ht="14.25" customHeight="1">
      <c r="A437" s="118"/>
      <c r="B437" s="118"/>
      <c r="C437" s="118"/>
      <c r="D437" s="119"/>
      <c r="E437" s="119"/>
      <c r="F437" s="118"/>
      <c r="G437" s="118"/>
      <c r="H437" s="118"/>
      <c r="I437" s="118"/>
      <c r="AF437" s="22"/>
      <c r="AG437" s="22"/>
      <c r="AH437" s="22"/>
      <c r="AI437" s="22"/>
      <c r="AJ437" s="22"/>
      <c r="AK437" s="23"/>
      <c r="AN437" s="24"/>
      <c r="AO437" s="24"/>
      <c r="AX437" s="25"/>
      <c r="BR437" s="25"/>
      <c r="CF437" s="27"/>
      <c r="CG437" s="27"/>
      <c r="CH437" s="27"/>
      <c r="CI437" s="27"/>
      <c r="CJ437" s="27"/>
      <c r="CK437" s="27"/>
    </row>
    <row r="438" ht="14.25" customHeight="1">
      <c r="A438" s="118"/>
      <c r="B438" s="118"/>
      <c r="C438" s="118"/>
      <c r="D438" s="119"/>
      <c r="E438" s="119"/>
      <c r="F438" s="118"/>
      <c r="G438" s="118"/>
      <c r="H438" s="118"/>
      <c r="I438" s="118"/>
      <c r="AF438" s="22"/>
      <c r="AG438" s="22"/>
      <c r="AH438" s="22"/>
      <c r="AI438" s="22"/>
      <c r="AJ438" s="22"/>
      <c r="AK438" s="23"/>
      <c r="AN438" s="24"/>
      <c r="AO438" s="24"/>
      <c r="AX438" s="25"/>
      <c r="BR438" s="25"/>
      <c r="CF438" s="27"/>
      <c r="CG438" s="27"/>
      <c r="CH438" s="27"/>
      <c r="CI438" s="27"/>
      <c r="CJ438" s="27"/>
      <c r="CK438" s="27"/>
    </row>
    <row r="439" ht="14.25" customHeight="1">
      <c r="A439" s="118"/>
      <c r="B439" s="118"/>
      <c r="C439" s="118"/>
      <c r="D439" s="119"/>
      <c r="E439" s="119"/>
      <c r="F439" s="118"/>
      <c r="G439" s="118"/>
      <c r="H439" s="118"/>
      <c r="I439" s="118"/>
      <c r="AF439" s="22"/>
      <c r="AG439" s="22"/>
      <c r="AH439" s="22"/>
      <c r="AI439" s="22"/>
      <c r="AJ439" s="22"/>
      <c r="AK439" s="23"/>
      <c r="AN439" s="24"/>
      <c r="AO439" s="24"/>
      <c r="AX439" s="25"/>
      <c r="BR439" s="25"/>
      <c r="CF439" s="27"/>
      <c r="CG439" s="27"/>
      <c r="CH439" s="27"/>
      <c r="CI439" s="27"/>
      <c r="CJ439" s="27"/>
      <c r="CK439" s="27"/>
    </row>
    <row r="440" ht="14.25" customHeight="1">
      <c r="A440" s="118"/>
      <c r="B440" s="118"/>
      <c r="C440" s="118"/>
      <c r="D440" s="119"/>
      <c r="E440" s="119"/>
      <c r="F440" s="118"/>
      <c r="G440" s="118"/>
      <c r="H440" s="118"/>
      <c r="I440" s="118"/>
      <c r="AF440" s="22"/>
      <c r="AG440" s="22"/>
      <c r="AH440" s="22"/>
      <c r="AI440" s="22"/>
      <c r="AJ440" s="22"/>
      <c r="AK440" s="23"/>
      <c r="AN440" s="24"/>
      <c r="AO440" s="24"/>
      <c r="AX440" s="25"/>
      <c r="BR440" s="25"/>
      <c r="CF440" s="27"/>
      <c r="CG440" s="27"/>
      <c r="CH440" s="27"/>
      <c r="CI440" s="27"/>
      <c r="CJ440" s="27"/>
      <c r="CK440" s="27"/>
    </row>
    <row r="441" ht="14.25" customHeight="1">
      <c r="A441" s="118"/>
      <c r="B441" s="118"/>
      <c r="C441" s="118"/>
      <c r="D441" s="119"/>
      <c r="E441" s="119"/>
      <c r="F441" s="118"/>
      <c r="G441" s="118"/>
      <c r="H441" s="118"/>
      <c r="I441" s="118"/>
      <c r="AF441" s="22"/>
      <c r="AG441" s="22"/>
      <c r="AH441" s="22"/>
      <c r="AI441" s="22"/>
      <c r="AJ441" s="22"/>
      <c r="AK441" s="23"/>
      <c r="AN441" s="24"/>
      <c r="AO441" s="24"/>
      <c r="AX441" s="25"/>
      <c r="BR441" s="25"/>
      <c r="CF441" s="27"/>
      <c r="CG441" s="27"/>
      <c r="CH441" s="27"/>
      <c r="CI441" s="27"/>
      <c r="CJ441" s="27"/>
      <c r="CK441" s="27"/>
    </row>
    <row r="442" ht="14.25" customHeight="1">
      <c r="A442" s="118"/>
      <c r="B442" s="118"/>
      <c r="C442" s="118"/>
      <c r="D442" s="119"/>
      <c r="E442" s="119"/>
      <c r="F442" s="118"/>
      <c r="G442" s="118"/>
      <c r="H442" s="118"/>
      <c r="I442" s="118"/>
      <c r="AF442" s="22"/>
      <c r="AG442" s="22"/>
      <c r="AH442" s="22"/>
      <c r="AI442" s="22"/>
      <c r="AJ442" s="22"/>
      <c r="AK442" s="23"/>
      <c r="AN442" s="24"/>
      <c r="AO442" s="24"/>
      <c r="AX442" s="25"/>
      <c r="BR442" s="25"/>
      <c r="CF442" s="27"/>
      <c r="CG442" s="27"/>
      <c r="CH442" s="27"/>
      <c r="CI442" s="27"/>
      <c r="CJ442" s="27"/>
      <c r="CK442" s="27"/>
    </row>
    <row r="443" ht="14.25" customHeight="1">
      <c r="A443" s="118"/>
      <c r="B443" s="118"/>
      <c r="C443" s="118"/>
      <c r="D443" s="119"/>
      <c r="E443" s="119"/>
      <c r="F443" s="118"/>
      <c r="G443" s="118"/>
      <c r="H443" s="118"/>
      <c r="I443" s="118"/>
      <c r="AF443" s="22"/>
      <c r="AG443" s="22"/>
      <c r="AH443" s="22"/>
      <c r="AI443" s="22"/>
      <c r="AJ443" s="22"/>
      <c r="AK443" s="23"/>
      <c r="AN443" s="24"/>
      <c r="AO443" s="24"/>
      <c r="AX443" s="25"/>
      <c r="BR443" s="25"/>
      <c r="CF443" s="27"/>
      <c r="CG443" s="27"/>
      <c r="CH443" s="27"/>
      <c r="CI443" s="27"/>
      <c r="CJ443" s="27"/>
      <c r="CK443" s="27"/>
    </row>
    <row r="444" ht="14.25" customHeight="1">
      <c r="A444" s="118"/>
      <c r="B444" s="118"/>
      <c r="C444" s="118"/>
      <c r="D444" s="119"/>
      <c r="E444" s="119"/>
      <c r="F444" s="118"/>
      <c r="G444" s="118"/>
      <c r="H444" s="118"/>
      <c r="I444" s="118"/>
      <c r="AF444" s="22"/>
      <c r="AG444" s="22"/>
      <c r="AH444" s="22"/>
      <c r="AI444" s="22"/>
      <c r="AJ444" s="22"/>
      <c r="AK444" s="23"/>
      <c r="AN444" s="24"/>
      <c r="AO444" s="24"/>
      <c r="AX444" s="25"/>
      <c r="BR444" s="25"/>
      <c r="CF444" s="27"/>
      <c r="CG444" s="27"/>
      <c r="CH444" s="27"/>
      <c r="CI444" s="27"/>
      <c r="CJ444" s="27"/>
      <c r="CK444" s="27"/>
    </row>
    <row r="445" ht="14.25" customHeight="1">
      <c r="A445" s="118"/>
      <c r="B445" s="118"/>
      <c r="C445" s="118"/>
      <c r="D445" s="119"/>
      <c r="E445" s="119"/>
      <c r="F445" s="118"/>
      <c r="G445" s="118"/>
      <c r="H445" s="118"/>
      <c r="I445" s="118"/>
      <c r="AF445" s="22"/>
      <c r="AG445" s="22"/>
      <c r="AH445" s="22"/>
      <c r="AI445" s="22"/>
      <c r="AJ445" s="22"/>
      <c r="AK445" s="23"/>
      <c r="AN445" s="24"/>
      <c r="AO445" s="24"/>
      <c r="AX445" s="25"/>
      <c r="BR445" s="25"/>
      <c r="CF445" s="27"/>
      <c r="CG445" s="27"/>
      <c r="CH445" s="27"/>
      <c r="CI445" s="27"/>
      <c r="CJ445" s="27"/>
      <c r="CK445" s="27"/>
    </row>
    <row r="446" ht="14.25" customHeight="1">
      <c r="A446" s="118"/>
      <c r="B446" s="118"/>
      <c r="C446" s="118"/>
      <c r="D446" s="119"/>
      <c r="E446" s="119"/>
      <c r="F446" s="118"/>
      <c r="G446" s="118"/>
      <c r="H446" s="118"/>
      <c r="I446" s="118"/>
      <c r="AF446" s="22"/>
      <c r="AG446" s="22"/>
      <c r="AH446" s="22"/>
      <c r="AI446" s="22"/>
      <c r="AJ446" s="22"/>
      <c r="AK446" s="23"/>
      <c r="AN446" s="24"/>
      <c r="AO446" s="24"/>
      <c r="AX446" s="25"/>
      <c r="BR446" s="25"/>
      <c r="CF446" s="27"/>
      <c r="CG446" s="27"/>
      <c r="CH446" s="27"/>
      <c r="CI446" s="27"/>
      <c r="CJ446" s="27"/>
      <c r="CK446" s="27"/>
    </row>
    <row r="447" ht="14.25" customHeight="1">
      <c r="A447" s="118"/>
      <c r="B447" s="118"/>
      <c r="C447" s="118"/>
      <c r="D447" s="119"/>
      <c r="E447" s="119"/>
      <c r="F447" s="118"/>
      <c r="G447" s="118"/>
      <c r="H447" s="118"/>
      <c r="I447" s="118"/>
      <c r="AF447" s="22"/>
      <c r="AG447" s="22"/>
      <c r="AH447" s="22"/>
      <c r="AI447" s="22"/>
      <c r="AJ447" s="22"/>
      <c r="AK447" s="23"/>
      <c r="AN447" s="24"/>
      <c r="AO447" s="24"/>
      <c r="AX447" s="25"/>
      <c r="BR447" s="25"/>
      <c r="CF447" s="27"/>
      <c r="CG447" s="27"/>
      <c r="CH447" s="27"/>
      <c r="CI447" s="27"/>
      <c r="CJ447" s="27"/>
      <c r="CK447" s="27"/>
    </row>
    <row r="448" ht="14.25" customHeight="1">
      <c r="A448" s="118"/>
      <c r="B448" s="118"/>
      <c r="C448" s="118"/>
      <c r="D448" s="119"/>
      <c r="E448" s="119"/>
      <c r="F448" s="118"/>
      <c r="G448" s="118"/>
      <c r="H448" s="118"/>
      <c r="I448" s="118"/>
      <c r="AF448" s="22"/>
      <c r="AG448" s="22"/>
      <c r="AH448" s="22"/>
      <c r="AI448" s="22"/>
      <c r="AJ448" s="22"/>
      <c r="AK448" s="23"/>
      <c r="AN448" s="24"/>
      <c r="AO448" s="24"/>
      <c r="AX448" s="25"/>
      <c r="BR448" s="25"/>
      <c r="CF448" s="27"/>
      <c r="CG448" s="27"/>
      <c r="CH448" s="27"/>
      <c r="CI448" s="27"/>
      <c r="CJ448" s="27"/>
      <c r="CK448" s="27"/>
    </row>
    <row r="449" ht="14.25" customHeight="1">
      <c r="A449" s="118"/>
      <c r="B449" s="118"/>
      <c r="C449" s="118"/>
      <c r="D449" s="119"/>
      <c r="E449" s="119"/>
      <c r="F449" s="118"/>
      <c r="G449" s="118"/>
      <c r="H449" s="118"/>
      <c r="I449" s="118"/>
      <c r="AF449" s="22"/>
      <c r="AG449" s="22"/>
      <c r="AH449" s="22"/>
      <c r="AI449" s="22"/>
      <c r="AJ449" s="22"/>
      <c r="AK449" s="23"/>
      <c r="AN449" s="24"/>
      <c r="AO449" s="24"/>
      <c r="AX449" s="25"/>
      <c r="BR449" s="25"/>
      <c r="CF449" s="27"/>
      <c r="CG449" s="27"/>
      <c r="CH449" s="27"/>
      <c r="CI449" s="27"/>
      <c r="CJ449" s="27"/>
      <c r="CK449" s="27"/>
    </row>
    <row r="450" ht="14.25" customHeight="1">
      <c r="A450" s="118"/>
      <c r="B450" s="118"/>
      <c r="C450" s="118"/>
      <c r="D450" s="119"/>
      <c r="E450" s="119"/>
      <c r="F450" s="118"/>
      <c r="G450" s="118"/>
      <c r="H450" s="118"/>
      <c r="I450" s="118"/>
      <c r="AF450" s="22"/>
      <c r="AG450" s="22"/>
      <c r="AH450" s="22"/>
      <c r="AI450" s="22"/>
      <c r="AJ450" s="22"/>
      <c r="AK450" s="23"/>
      <c r="AN450" s="24"/>
      <c r="AO450" s="24"/>
      <c r="AX450" s="25"/>
      <c r="BR450" s="25"/>
      <c r="CF450" s="27"/>
      <c r="CG450" s="27"/>
      <c r="CH450" s="27"/>
      <c r="CI450" s="27"/>
      <c r="CJ450" s="27"/>
      <c r="CK450" s="27"/>
    </row>
    <row r="451" ht="14.25" customHeight="1">
      <c r="A451" s="118"/>
      <c r="B451" s="118"/>
      <c r="C451" s="118"/>
      <c r="D451" s="119"/>
      <c r="E451" s="119"/>
      <c r="F451" s="118"/>
      <c r="G451" s="118"/>
      <c r="H451" s="118"/>
      <c r="I451" s="118"/>
      <c r="AF451" s="22"/>
      <c r="AG451" s="22"/>
      <c r="AH451" s="22"/>
      <c r="AI451" s="22"/>
      <c r="AJ451" s="22"/>
      <c r="AK451" s="23"/>
      <c r="AN451" s="24"/>
      <c r="AO451" s="24"/>
      <c r="AX451" s="25"/>
      <c r="BR451" s="25"/>
      <c r="CF451" s="27"/>
      <c r="CG451" s="27"/>
      <c r="CH451" s="27"/>
      <c r="CI451" s="27"/>
      <c r="CJ451" s="27"/>
      <c r="CK451" s="27"/>
    </row>
    <row r="452" ht="14.25" customHeight="1">
      <c r="A452" s="118"/>
      <c r="B452" s="118"/>
      <c r="C452" s="118"/>
      <c r="D452" s="119"/>
      <c r="E452" s="119"/>
      <c r="F452" s="118"/>
      <c r="G452" s="118"/>
      <c r="H452" s="118"/>
      <c r="I452" s="118"/>
      <c r="AF452" s="22"/>
      <c r="AG452" s="22"/>
      <c r="AH452" s="22"/>
      <c r="AI452" s="22"/>
      <c r="AJ452" s="22"/>
      <c r="AK452" s="23"/>
      <c r="AN452" s="24"/>
      <c r="AO452" s="24"/>
      <c r="AX452" s="25"/>
      <c r="BR452" s="25"/>
      <c r="CF452" s="27"/>
      <c r="CG452" s="27"/>
      <c r="CH452" s="27"/>
      <c r="CI452" s="27"/>
      <c r="CJ452" s="27"/>
      <c r="CK452" s="27"/>
    </row>
    <row r="453" ht="14.25" customHeight="1">
      <c r="A453" s="118"/>
      <c r="B453" s="118"/>
      <c r="C453" s="118"/>
      <c r="D453" s="119"/>
      <c r="E453" s="119"/>
      <c r="F453" s="118"/>
      <c r="G453" s="118"/>
      <c r="H453" s="118"/>
      <c r="I453" s="118"/>
      <c r="AF453" s="22"/>
      <c r="AG453" s="22"/>
      <c r="AH453" s="22"/>
      <c r="AI453" s="22"/>
      <c r="AJ453" s="22"/>
      <c r="AK453" s="23"/>
      <c r="AN453" s="24"/>
      <c r="AO453" s="24"/>
      <c r="AX453" s="25"/>
      <c r="BR453" s="25"/>
      <c r="CF453" s="27"/>
      <c r="CG453" s="27"/>
      <c r="CH453" s="27"/>
      <c r="CI453" s="27"/>
      <c r="CJ453" s="27"/>
      <c r="CK453" s="27"/>
    </row>
    <row r="454" ht="14.25" customHeight="1">
      <c r="A454" s="118"/>
      <c r="B454" s="118"/>
      <c r="C454" s="118"/>
      <c r="D454" s="119"/>
      <c r="E454" s="119"/>
      <c r="F454" s="118"/>
      <c r="G454" s="118"/>
      <c r="H454" s="118"/>
      <c r="I454" s="118"/>
      <c r="AF454" s="22"/>
      <c r="AG454" s="22"/>
      <c r="AH454" s="22"/>
      <c r="AI454" s="22"/>
      <c r="AJ454" s="22"/>
      <c r="AK454" s="23"/>
      <c r="AN454" s="24"/>
      <c r="AO454" s="24"/>
      <c r="AX454" s="25"/>
      <c r="BR454" s="25"/>
      <c r="CF454" s="27"/>
      <c r="CG454" s="27"/>
      <c r="CH454" s="27"/>
      <c r="CI454" s="27"/>
      <c r="CJ454" s="27"/>
      <c r="CK454" s="27"/>
    </row>
    <row r="455" ht="14.25" customHeight="1">
      <c r="A455" s="118"/>
      <c r="B455" s="118"/>
      <c r="C455" s="118"/>
      <c r="D455" s="119"/>
      <c r="E455" s="119"/>
      <c r="F455" s="118"/>
      <c r="G455" s="118"/>
      <c r="H455" s="118"/>
      <c r="I455" s="118"/>
      <c r="AF455" s="22"/>
      <c r="AG455" s="22"/>
      <c r="AH455" s="22"/>
      <c r="AI455" s="22"/>
      <c r="AJ455" s="22"/>
      <c r="AK455" s="23"/>
      <c r="AN455" s="24"/>
      <c r="AO455" s="24"/>
      <c r="AX455" s="25"/>
      <c r="BR455" s="25"/>
      <c r="CF455" s="27"/>
      <c r="CG455" s="27"/>
      <c r="CH455" s="27"/>
      <c r="CI455" s="27"/>
      <c r="CJ455" s="27"/>
      <c r="CK455" s="27"/>
    </row>
    <row r="456" ht="14.25" customHeight="1">
      <c r="A456" s="118"/>
      <c r="B456" s="118"/>
      <c r="C456" s="118"/>
      <c r="D456" s="119"/>
      <c r="E456" s="119"/>
      <c r="F456" s="118"/>
      <c r="G456" s="118"/>
      <c r="H456" s="118"/>
      <c r="I456" s="118"/>
      <c r="AF456" s="22"/>
      <c r="AG456" s="22"/>
      <c r="AH456" s="22"/>
      <c r="AI456" s="22"/>
      <c r="AJ456" s="22"/>
      <c r="AK456" s="23"/>
      <c r="AN456" s="24"/>
      <c r="AO456" s="24"/>
      <c r="AX456" s="25"/>
      <c r="BR456" s="25"/>
      <c r="CF456" s="27"/>
      <c r="CG456" s="27"/>
      <c r="CH456" s="27"/>
      <c r="CI456" s="27"/>
      <c r="CJ456" s="27"/>
      <c r="CK456" s="27"/>
    </row>
    <row r="457" ht="14.25" customHeight="1">
      <c r="A457" s="118"/>
      <c r="B457" s="118"/>
      <c r="C457" s="118"/>
      <c r="D457" s="119"/>
      <c r="E457" s="119"/>
      <c r="F457" s="118"/>
      <c r="G457" s="118"/>
      <c r="H457" s="118"/>
      <c r="I457" s="118"/>
      <c r="AF457" s="22"/>
      <c r="AG457" s="22"/>
      <c r="AH457" s="22"/>
      <c r="AI457" s="22"/>
      <c r="AJ457" s="22"/>
      <c r="AK457" s="23"/>
      <c r="AN457" s="24"/>
      <c r="AO457" s="24"/>
      <c r="AX457" s="25"/>
      <c r="BR457" s="25"/>
      <c r="CF457" s="27"/>
      <c r="CG457" s="27"/>
      <c r="CH457" s="27"/>
      <c r="CI457" s="27"/>
      <c r="CJ457" s="27"/>
      <c r="CK457" s="27"/>
    </row>
    <row r="458" ht="14.25" customHeight="1">
      <c r="A458" s="118"/>
      <c r="B458" s="118"/>
      <c r="C458" s="118"/>
      <c r="D458" s="119"/>
      <c r="E458" s="119"/>
      <c r="F458" s="118"/>
      <c r="G458" s="118"/>
      <c r="H458" s="118"/>
      <c r="I458" s="118"/>
      <c r="AF458" s="22"/>
      <c r="AG458" s="22"/>
      <c r="AH458" s="22"/>
      <c r="AI458" s="22"/>
      <c r="AJ458" s="22"/>
      <c r="AK458" s="23"/>
      <c r="AN458" s="24"/>
      <c r="AO458" s="24"/>
      <c r="AX458" s="25"/>
      <c r="BR458" s="25"/>
      <c r="CF458" s="27"/>
      <c r="CG458" s="27"/>
      <c r="CH458" s="27"/>
      <c r="CI458" s="27"/>
      <c r="CJ458" s="27"/>
      <c r="CK458" s="27"/>
    </row>
    <row r="459" ht="14.25" customHeight="1">
      <c r="A459" s="118"/>
      <c r="B459" s="118"/>
      <c r="C459" s="118"/>
      <c r="D459" s="119"/>
      <c r="E459" s="119"/>
      <c r="F459" s="118"/>
      <c r="G459" s="118"/>
      <c r="H459" s="118"/>
      <c r="I459" s="118"/>
      <c r="AF459" s="22"/>
      <c r="AG459" s="22"/>
      <c r="AH459" s="22"/>
      <c r="AI459" s="22"/>
      <c r="AJ459" s="22"/>
      <c r="AK459" s="23"/>
      <c r="AN459" s="24"/>
      <c r="AO459" s="24"/>
      <c r="AX459" s="25"/>
      <c r="BR459" s="25"/>
      <c r="CF459" s="27"/>
      <c r="CG459" s="27"/>
      <c r="CH459" s="27"/>
      <c r="CI459" s="27"/>
      <c r="CJ459" s="27"/>
      <c r="CK459" s="27"/>
    </row>
    <row r="460" ht="14.25" customHeight="1">
      <c r="A460" s="118"/>
      <c r="B460" s="118"/>
      <c r="C460" s="118"/>
      <c r="D460" s="119"/>
      <c r="E460" s="119"/>
      <c r="F460" s="118"/>
      <c r="G460" s="118"/>
      <c r="H460" s="118"/>
      <c r="I460" s="118"/>
      <c r="AF460" s="22"/>
      <c r="AG460" s="22"/>
      <c r="AH460" s="22"/>
      <c r="AI460" s="22"/>
      <c r="AJ460" s="22"/>
      <c r="AK460" s="23"/>
      <c r="AN460" s="24"/>
      <c r="AO460" s="24"/>
      <c r="AX460" s="25"/>
      <c r="BR460" s="25"/>
      <c r="CF460" s="27"/>
      <c r="CG460" s="27"/>
      <c r="CH460" s="27"/>
      <c r="CI460" s="27"/>
      <c r="CJ460" s="27"/>
      <c r="CK460" s="27"/>
    </row>
    <row r="461" ht="14.25" customHeight="1">
      <c r="A461" s="118"/>
      <c r="B461" s="118"/>
      <c r="C461" s="118"/>
      <c r="D461" s="119"/>
      <c r="E461" s="119"/>
      <c r="F461" s="118"/>
      <c r="G461" s="118"/>
      <c r="H461" s="118"/>
      <c r="I461" s="118"/>
      <c r="AF461" s="22"/>
      <c r="AG461" s="22"/>
      <c r="AH461" s="22"/>
      <c r="AI461" s="22"/>
      <c r="AJ461" s="22"/>
      <c r="AK461" s="23"/>
      <c r="AN461" s="24"/>
      <c r="AO461" s="24"/>
      <c r="AX461" s="25"/>
      <c r="BR461" s="25"/>
      <c r="CF461" s="27"/>
      <c r="CG461" s="27"/>
      <c r="CH461" s="27"/>
      <c r="CI461" s="27"/>
      <c r="CJ461" s="27"/>
      <c r="CK461" s="27"/>
    </row>
    <row r="462" ht="14.25" customHeight="1">
      <c r="A462" s="118"/>
      <c r="B462" s="118"/>
      <c r="C462" s="118"/>
      <c r="D462" s="119"/>
      <c r="E462" s="119"/>
      <c r="F462" s="118"/>
      <c r="G462" s="118"/>
      <c r="H462" s="118"/>
      <c r="I462" s="118"/>
      <c r="AF462" s="22"/>
      <c r="AG462" s="22"/>
      <c r="AH462" s="22"/>
      <c r="AI462" s="22"/>
      <c r="AJ462" s="22"/>
      <c r="AK462" s="23"/>
      <c r="AN462" s="24"/>
      <c r="AO462" s="24"/>
      <c r="AX462" s="25"/>
      <c r="BR462" s="25"/>
      <c r="CF462" s="27"/>
      <c r="CG462" s="27"/>
      <c r="CH462" s="27"/>
      <c r="CI462" s="27"/>
      <c r="CJ462" s="27"/>
      <c r="CK462" s="27"/>
    </row>
    <row r="463" ht="14.25" customHeight="1">
      <c r="A463" s="118"/>
      <c r="B463" s="118"/>
      <c r="C463" s="118"/>
      <c r="D463" s="119"/>
      <c r="E463" s="119"/>
      <c r="F463" s="118"/>
      <c r="G463" s="118"/>
      <c r="H463" s="118"/>
      <c r="I463" s="118"/>
      <c r="AF463" s="22"/>
      <c r="AG463" s="22"/>
      <c r="AH463" s="22"/>
      <c r="AI463" s="22"/>
      <c r="AJ463" s="22"/>
      <c r="AK463" s="23"/>
      <c r="AN463" s="24"/>
      <c r="AO463" s="24"/>
      <c r="AX463" s="25"/>
      <c r="BR463" s="25"/>
      <c r="CF463" s="27"/>
      <c r="CG463" s="27"/>
      <c r="CH463" s="27"/>
      <c r="CI463" s="27"/>
      <c r="CJ463" s="27"/>
      <c r="CK463" s="27"/>
    </row>
    <row r="464" ht="14.25" customHeight="1">
      <c r="A464" s="118"/>
      <c r="B464" s="118"/>
      <c r="C464" s="118"/>
      <c r="D464" s="119"/>
      <c r="E464" s="119"/>
      <c r="F464" s="118"/>
      <c r="G464" s="118"/>
      <c r="H464" s="118"/>
      <c r="I464" s="118"/>
      <c r="AF464" s="22"/>
      <c r="AG464" s="22"/>
      <c r="AH464" s="22"/>
      <c r="AI464" s="22"/>
      <c r="AJ464" s="22"/>
      <c r="AK464" s="23"/>
      <c r="AN464" s="24"/>
      <c r="AO464" s="24"/>
      <c r="AX464" s="25"/>
      <c r="BR464" s="25"/>
      <c r="CF464" s="27"/>
      <c r="CG464" s="27"/>
      <c r="CH464" s="27"/>
      <c r="CI464" s="27"/>
      <c r="CJ464" s="27"/>
      <c r="CK464" s="27"/>
    </row>
    <row r="465" ht="14.25" customHeight="1">
      <c r="A465" s="118"/>
      <c r="B465" s="118"/>
      <c r="C465" s="118"/>
      <c r="D465" s="119"/>
      <c r="E465" s="119"/>
      <c r="F465" s="118"/>
      <c r="G465" s="118"/>
      <c r="H465" s="118"/>
      <c r="I465" s="118"/>
      <c r="AF465" s="22"/>
      <c r="AG465" s="22"/>
      <c r="AH465" s="22"/>
      <c r="AI465" s="22"/>
      <c r="AJ465" s="22"/>
      <c r="AK465" s="23"/>
      <c r="AN465" s="24"/>
      <c r="AO465" s="24"/>
      <c r="AX465" s="25"/>
      <c r="BR465" s="25"/>
      <c r="CF465" s="27"/>
      <c r="CG465" s="27"/>
      <c r="CH465" s="27"/>
      <c r="CI465" s="27"/>
      <c r="CJ465" s="27"/>
      <c r="CK465" s="27"/>
    </row>
    <row r="466" ht="14.25" customHeight="1">
      <c r="A466" s="118"/>
      <c r="B466" s="118"/>
      <c r="C466" s="118"/>
      <c r="D466" s="119"/>
      <c r="E466" s="119"/>
      <c r="F466" s="118"/>
      <c r="G466" s="118"/>
      <c r="H466" s="118"/>
      <c r="I466" s="118"/>
      <c r="AF466" s="22"/>
      <c r="AG466" s="22"/>
      <c r="AH466" s="22"/>
      <c r="AI466" s="22"/>
      <c r="AJ466" s="22"/>
      <c r="AK466" s="23"/>
      <c r="AN466" s="24"/>
      <c r="AO466" s="24"/>
      <c r="AX466" s="25"/>
      <c r="BR466" s="25"/>
      <c r="CF466" s="27"/>
      <c r="CG466" s="27"/>
      <c r="CH466" s="27"/>
      <c r="CI466" s="27"/>
      <c r="CJ466" s="27"/>
      <c r="CK466" s="27"/>
    </row>
    <row r="467" ht="14.25" customHeight="1">
      <c r="A467" s="118"/>
      <c r="B467" s="118"/>
      <c r="C467" s="118"/>
      <c r="D467" s="119"/>
      <c r="E467" s="119"/>
      <c r="F467" s="118"/>
      <c r="G467" s="118"/>
      <c r="H467" s="118"/>
      <c r="I467" s="118"/>
      <c r="AF467" s="22"/>
      <c r="AG467" s="22"/>
      <c r="AH467" s="22"/>
      <c r="AI467" s="22"/>
      <c r="AJ467" s="22"/>
      <c r="AK467" s="23"/>
      <c r="AN467" s="24"/>
      <c r="AO467" s="24"/>
      <c r="AX467" s="25"/>
      <c r="BR467" s="25"/>
      <c r="CF467" s="27"/>
      <c r="CG467" s="27"/>
      <c r="CH467" s="27"/>
      <c r="CI467" s="27"/>
      <c r="CJ467" s="27"/>
      <c r="CK467" s="27"/>
    </row>
    <row r="468" ht="14.25" customHeight="1">
      <c r="A468" s="118"/>
      <c r="B468" s="118"/>
      <c r="C468" s="118"/>
      <c r="D468" s="119"/>
      <c r="E468" s="119"/>
      <c r="F468" s="118"/>
      <c r="G468" s="118"/>
      <c r="H468" s="118"/>
      <c r="I468" s="118"/>
      <c r="AF468" s="22"/>
      <c r="AG468" s="22"/>
      <c r="AH468" s="22"/>
      <c r="AI468" s="22"/>
      <c r="AJ468" s="22"/>
      <c r="AK468" s="23"/>
      <c r="AN468" s="24"/>
      <c r="AO468" s="24"/>
      <c r="AX468" s="25"/>
      <c r="BR468" s="25"/>
      <c r="CF468" s="27"/>
      <c r="CG468" s="27"/>
      <c r="CH468" s="27"/>
      <c r="CI468" s="27"/>
      <c r="CJ468" s="27"/>
      <c r="CK468" s="27"/>
    </row>
    <row r="469" ht="14.25" customHeight="1">
      <c r="A469" s="118"/>
      <c r="B469" s="118"/>
      <c r="C469" s="118"/>
      <c r="D469" s="119"/>
      <c r="E469" s="119"/>
      <c r="F469" s="118"/>
      <c r="G469" s="118"/>
      <c r="H469" s="118"/>
      <c r="I469" s="118"/>
      <c r="AF469" s="22"/>
      <c r="AG469" s="22"/>
      <c r="AH469" s="22"/>
      <c r="AI469" s="22"/>
      <c r="AJ469" s="22"/>
      <c r="AK469" s="23"/>
      <c r="AN469" s="24"/>
      <c r="AO469" s="24"/>
      <c r="AX469" s="25"/>
      <c r="BR469" s="25"/>
      <c r="CF469" s="27"/>
      <c r="CG469" s="27"/>
      <c r="CH469" s="27"/>
      <c r="CI469" s="27"/>
      <c r="CJ469" s="27"/>
      <c r="CK469" s="27"/>
    </row>
    <row r="470" ht="14.25" customHeight="1">
      <c r="A470" s="118"/>
      <c r="B470" s="118"/>
      <c r="C470" s="118"/>
      <c r="D470" s="119"/>
      <c r="E470" s="119"/>
      <c r="F470" s="118"/>
      <c r="G470" s="118"/>
      <c r="H470" s="118"/>
      <c r="I470" s="118"/>
      <c r="AF470" s="22"/>
      <c r="AG470" s="22"/>
      <c r="AH470" s="22"/>
      <c r="AI470" s="22"/>
      <c r="AJ470" s="22"/>
      <c r="AK470" s="23"/>
      <c r="AN470" s="24"/>
      <c r="AO470" s="24"/>
      <c r="AX470" s="25"/>
      <c r="BR470" s="25"/>
      <c r="CF470" s="27"/>
      <c r="CG470" s="27"/>
      <c r="CH470" s="27"/>
      <c r="CI470" s="27"/>
      <c r="CJ470" s="27"/>
      <c r="CK470" s="27"/>
    </row>
    <row r="471" ht="14.25" customHeight="1">
      <c r="A471" s="118"/>
      <c r="B471" s="118"/>
      <c r="C471" s="118"/>
      <c r="D471" s="119"/>
      <c r="E471" s="119"/>
      <c r="F471" s="118"/>
      <c r="G471" s="118"/>
      <c r="H471" s="118"/>
      <c r="I471" s="118"/>
      <c r="AF471" s="22"/>
      <c r="AG471" s="22"/>
      <c r="AH471" s="22"/>
      <c r="AI471" s="22"/>
      <c r="AJ471" s="22"/>
      <c r="AK471" s="23"/>
      <c r="AN471" s="24"/>
      <c r="AO471" s="24"/>
      <c r="AX471" s="25"/>
      <c r="BR471" s="25"/>
      <c r="CF471" s="27"/>
      <c r="CG471" s="27"/>
      <c r="CH471" s="27"/>
      <c r="CI471" s="27"/>
      <c r="CJ471" s="27"/>
      <c r="CK471" s="27"/>
    </row>
    <row r="472" ht="14.25" customHeight="1">
      <c r="A472" s="118"/>
      <c r="B472" s="118"/>
      <c r="C472" s="118"/>
      <c r="D472" s="119"/>
      <c r="E472" s="119"/>
      <c r="F472" s="118"/>
      <c r="G472" s="118"/>
      <c r="H472" s="118"/>
      <c r="I472" s="118"/>
      <c r="AF472" s="22"/>
      <c r="AG472" s="22"/>
      <c r="AH472" s="22"/>
      <c r="AI472" s="22"/>
      <c r="AJ472" s="22"/>
      <c r="AK472" s="23"/>
      <c r="AN472" s="24"/>
      <c r="AO472" s="24"/>
      <c r="AX472" s="25"/>
      <c r="BR472" s="25"/>
      <c r="CF472" s="27"/>
      <c r="CG472" s="27"/>
      <c r="CH472" s="27"/>
      <c r="CI472" s="27"/>
      <c r="CJ472" s="27"/>
      <c r="CK472" s="27"/>
    </row>
    <row r="473" ht="14.25" customHeight="1">
      <c r="A473" s="118"/>
      <c r="B473" s="118"/>
      <c r="C473" s="118"/>
      <c r="D473" s="119"/>
      <c r="E473" s="119"/>
      <c r="F473" s="118"/>
      <c r="G473" s="118"/>
      <c r="H473" s="118"/>
      <c r="I473" s="118"/>
      <c r="AF473" s="22"/>
      <c r="AG473" s="22"/>
      <c r="AH473" s="22"/>
      <c r="AI473" s="22"/>
      <c r="AJ473" s="22"/>
      <c r="AK473" s="23"/>
      <c r="AN473" s="24"/>
      <c r="AO473" s="24"/>
      <c r="AX473" s="25"/>
      <c r="BR473" s="25"/>
      <c r="CF473" s="27"/>
      <c r="CG473" s="27"/>
      <c r="CH473" s="27"/>
      <c r="CI473" s="27"/>
      <c r="CJ473" s="27"/>
      <c r="CK473" s="27"/>
    </row>
    <row r="474" ht="14.25" customHeight="1">
      <c r="A474" s="118"/>
      <c r="B474" s="118"/>
      <c r="C474" s="118"/>
      <c r="D474" s="119"/>
      <c r="E474" s="119"/>
      <c r="F474" s="118"/>
      <c r="G474" s="118"/>
      <c r="H474" s="118"/>
      <c r="I474" s="118"/>
      <c r="AF474" s="22"/>
      <c r="AG474" s="22"/>
      <c r="AH474" s="22"/>
      <c r="AI474" s="22"/>
      <c r="AJ474" s="22"/>
      <c r="AK474" s="23"/>
      <c r="AN474" s="24"/>
      <c r="AO474" s="24"/>
      <c r="AX474" s="25"/>
      <c r="BR474" s="25"/>
      <c r="CF474" s="27"/>
      <c r="CG474" s="27"/>
      <c r="CH474" s="27"/>
      <c r="CI474" s="27"/>
      <c r="CJ474" s="27"/>
      <c r="CK474" s="27"/>
    </row>
    <row r="475" ht="14.25" customHeight="1">
      <c r="A475" s="118"/>
      <c r="B475" s="118"/>
      <c r="C475" s="118"/>
      <c r="D475" s="119"/>
      <c r="E475" s="119"/>
      <c r="F475" s="118"/>
      <c r="G475" s="118"/>
      <c r="H475" s="118"/>
      <c r="I475" s="118"/>
      <c r="AF475" s="22"/>
      <c r="AG475" s="22"/>
      <c r="AH475" s="22"/>
      <c r="AI475" s="22"/>
      <c r="AJ475" s="22"/>
      <c r="AK475" s="23"/>
      <c r="AN475" s="24"/>
      <c r="AO475" s="24"/>
      <c r="AX475" s="25"/>
      <c r="BR475" s="25"/>
      <c r="CF475" s="27"/>
      <c r="CG475" s="27"/>
      <c r="CH475" s="27"/>
      <c r="CI475" s="27"/>
      <c r="CJ475" s="27"/>
      <c r="CK475" s="27"/>
    </row>
    <row r="476" ht="14.25" customHeight="1">
      <c r="A476" s="118"/>
      <c r="B476" s="118"/>
      <c r="C476" s="118"/>
      <c r="D476" s="119"/>
      <c r="E476" s="119"/>
      <c r="F476" s="118"/>
      <c r="G476" s="118"/>
      <c r="H476" s="118"/>
      <c r="I476" s="118"/>
      <c r="AF476" s="22"/>
      <c r="AG476" s="22"/>
      <c r="AH476" s="22"/>
      <c r="AI476" s="22"/>
      <c r="AJ476" s="22"/>
      <c r="AK476" s="23"/>
      <c r="AN476" s="24"/>
      <c r="AO476" s="24"/>
      <c r="AX476" s="25"/>
      <c r="BR476" s="25"/>
      <c r="CF476" s="27"/>
      <c r="CG476" s="27"/>
      <c r="CH476" s="27"/>
      <c r="CI476" s="27"/>
      <c r="CJ476" s="27"/>
      <c r="CK476" s="27"/>
    </row>
    <row r="477" ht="14.25" customHeight="1">
      <c r="A477" s="118"/>
      <c r="B477" s="118"/>
      <c r="C477" s="118"/>
      <c r="D477" s="119"/>
      <c r="E477" s="119"/>
      <c r="F477" s="118"/>
      <c r="G477" s="118"/>
      <c r="H477" s="118"/>
      <c r="I477" s="118"/>
      <c r="AF477" s="22"/>
      <c r="AG477" s="22"/>
      <c r="AH477" s="22"/>
      <c r="AI477" s="22"/>
      <c r="AJ477" s="22"/>
      <c r="AK477" s="23"/>
      <c r="AN477" s="24"/>
      <c r="AO477" s="24"/>
      <c r="AX477" s="25"/>
      <c r="BR477" s="25"/>
      <c r="CF477" s="27"/>
      <c r="CG477" s="27"/>
      <c r="CH477" s="27"/>
      <c r="CI477" s="27"/>
      <c r="CJ477" s="27"/>
      <c r="CK477" s="27"/>
    </row>
    <row r="478" ht="14.25" customHeight="1">
      <c r="A478" s="118"/>
      <c r="B478" s="118"/>
      <c r="C478" s="118"/>
      <c r="D478" s="119"/>
      <c r="E478" s="119"/>
      <c r="F478" s="118"/>
      <c r="G478" s="118"/>
      <c r="H478" s="118"/>
      <c r="I478" s="118"/>
      <c r="AF478" s="22"/>
      <c r="AG478" s="22"/>
      <c r="AH478" s="22"/>
      <c r="AI478" s="22"/>
      <c r="AJ478" s="22"/>
      <c r="AK478" s="23"/>
      <c r="AN478" s="24"/>
      <c r="AO478" s="24"/>
      <c r="AX478" s="25"/>
      <c r="BR478" s="25"/>
      <c r="CF478" s="27"/>
      <c r="CG478" s="27"/>
      <c r="CH478" s="27"/>
      <c r="CI478" s="27"/>
      <c r="CJ478" s="27"/>
      <c r="CK478" s="27"/>
    </row>
    <row r="479" ht="14.25" customHeight="1">
      <c r="A479" s="118"/>
      <c r="B479" s="118"/>
      <c r="C479" s="118"/>
      <c r="D479" s="119"/>
      <c r="E479" s="119"/>
      <c r="F479" s="118"/>
      <c r="G479" s="118"/>
      <c r="H479" s="118"/>
      <c r="I479" s="118"/>
      <c r="AF479" s="22"/>
      <c r="AG479" s="22"/>
      <c r="AH479" s="22"/>
      <c r="AI479" s="22"/>
      <c r="AJ479" s="22"/>
      <c r="AK479" s="23"/>
      <c r="AN479" s="24"/>
      <c r="AO479" s="24"/>
      <c r="AX479" s="25"/>
      <c r="BR479" s="25"/>
      <c r="CF479" s="27"/>
      <c r="CG479" s="27"/>
      <c r="CH479" s="27"/>
      <c r="CI479" s="27"/>
      <c r="CJ479" s="27"/>
      <c r="CK479" s="27"/>
    </row>
    <row r="480" ht="14.25" customHeight="1">
      <c r="A480" s="118"/>
      <c r="B480" s="118"/>
      <c r="C480" s="118"/>
      <c r="D480" s="119"/>
      <c r="E480" s="119"/>
      <c r="F480" s="118"/>
      <c r="G480" s="118"/>
      <c r="H480" s="118"/>
      <c r="I480" s="118"/>
      <c r="AF480" s="22"/>
      <c r="AG480" s="22"/>
      <c r="AH480" s="22"/>
      <c r="AI480" s="22"/>
      <c r="AJ480" s="22"/>
      <c r="AK480" s="23"/>
      <c r="AN480" s="24"/>
      <c r="AO480" s="24"/>
      <c r="AX480" s="25"/>
      <c r="BR480" s="25"/>
      <c r="CF480" s="27"/>
      <c r="CG480" s="27"/>
      <c r="CH480" s="27"/>
      <c r="CI480" s="27"/>
      <c r="CJ480" s="27"/>
      <c r="CK480" s="27"/>
    </row>
    <row r="481" ht="14.25" customHeight="1">
      <c r="A481" s="118"/>
      <c r="B481" s="118"/>
      <c r="C481" s="118"/>
      <c r="D481" s="119"/>
      <c r="E481" s="119"/>
      <c r="F481" s="118"/>
      <c r="G481" s="118"/>
      <c r="H481" s="118"/>
      <c r="I481" s="118"/>
      <c r="AF481" s="22"/>
      <c r="AG481" s="22"/>
      <c r="AH481" s="22"/>
      <c r="AI481" s="22"/>
      <c r="AJ481" s="22"/>
      <c r="AK481" s="23"/>
      <c r="AN481" s="24"/>
      <c r="AO481" s="24"/>
      <c r="AX481" s="25"/>
      <c r="BR481" s="25"/>
      <c r="CF481" s="27"/>
      <c r="CG481" s="27"/>
      <c r="CH481" s="27"/>
      <c r="CI481" s="27"/>
      <c r="CJ481" s="27"/>
      <c r="CK481" s="27"/>
    </row>
    <row r="482" ht="14.25" customHeight="1">
      <c r="A482" s="118"/>
      <c r="B482" s="118"/>
      <c r="C482" s="118"/>
      <c r="D482" s="119"/>
      <c r="E482" s="119"/>
      <c r="F482" s="118"/>
      <c r="G482" s="118"/>
      <c r="H482" s="118"/>
      <c r="I482" s="118"/>
      <c r="AF482" s="22"/>
      <c r="AG482" s="22"/>
      <c r="AH482" s="22"/>
      <c r="AI482" s="22"/>
      <c r="AJ482" s="22"/>
      <c r="AK482" s="23"/>
      <c r="AN482" s="24"/>
      <c r="AO482" s="24"/>
      <c r="AX482" s="25"/>
      <c r="BR482" s="25"/>
      <c r="CF482" s="27"/>
      <c r="CG482" s="27"/>
      <c r="CH482" s="27"/>
      <c r="CI482" s="27"/>
      <c r="CJ482" s="27"/>
      <c r="CK482" s="27"/>
    </row>
    <row r="483" ht="14.25" customHeight="1">
      <c r="A483" s="118"/>
      <c r="B483" s="118"/>
      <c r="C483" s="118"/>
      <c r="D483" s="119"/>
      <c r="E483" s="119"/>
      <c r="F483" s="118"/>
      <c r="G483" s="118"/>
      <c r="H483" s="118"/>
      <c r="I483" s="118"/>
      <c r="AF483" s="22"/>
      <c r="AG483" s="22"/>
      <c r="AH483" s="22"/>
      <c r="AI483" s="22"/>
      <c r="AJ483" s="22"/>
      <c r="AK483" s="23"/>
      <c r="AN483" s="24"/>
      <c r="AO483" s="24"/>
      <c r="AX483" s="25"/>
      <c r="BR483" s="25"/>
      <c r="CF483" s="27"/>
      <c r="CG483" s="27"/>
      <c r="CH483" s="27"/>
      <c r="CI483" s="27"/>
      <c r="CJ483" s="27"/>
      <c r="CK483" s="27"/>
    </row>
    <row r="484" ht="14.25" customHeight="1">
      <c r="A484" s="118"/>
      <c r="B484" s="118"/>
      <c r="C484" s="118"/>
      <c r="D484" s="119"/>
      <c r="E484" s="119"/>
      <c r="F484" s="118"/>
      <c r="G484" s="118"/>
      <c r="H484" s="118"/>
      <c r="I484" s="118"/>
      <c r="AF484" s="22"/>
      <c r="AG484" s="22"/>
      <c r="AH484" s="22"/>
      <c r="AI484" s="22"/>
      <c r="AJ484" s="22"/>
      <c r="AK484" s="23"/>
      <c r="AN484" s="24"/>
      <c r="AO484" s="24"/>
      <c r="AX484" s="25"/>
      <c r="BR484" s="25"/>
      <c r="CF484" s="27"/>
      <c r="CG484" s="27"/>
      <c r="CH484" s="27"/>
      <c r="CI484" s="27"/>
      <c r="CJ484" s="27"/>
      <c r="CK484" s="27"/>
    </row>
    <row r="485" ht="14.25" customHeight="1">
      <c r="A485" s="118"/>
      <c r="B485" s="118"/>
      <c r="C485" s="118"/>
      <c r="D485" s="119"/>
      <c r="E485" s="119"/>
      <c r="F485" s="118"/>
      <c r="G485" s="118"/>
      <c r="H485" s="118"/>
      <c r="I485" s="118"/>
      <c r="AF485" s="22"/>
      <c r="AG485" s="22"/>
      <c r="AH485" s="22"/>
      <c r="AI485" s="22"/>
      <c r="AJ485" s="22"/>
      <c r="AK485" s="23"/>
      <c r="AN485" s="24"/>
      <c r="AO485" s="24"/>
      <c r="AX485" s="25"/>
      <c r="BR485" s="25"/>
      <c r="CF485" s="27"/>
      <c r="CG485" s="27"/>
      <c r="CH485" s="27"/>
      <c r="CI485" s="27"/>
      <c r="CJ485" s="27"/>
      <c r="CK485" s="27"/>
    </row>
    <row r="486" ht="14.25" customHeight="1">
      <c r="A486" s="118"/>
      <c r="B486" s="118"/>
      <c r="C486" s="118"/>
      <c r="D486" s="119"/>
      <c r="E486" s="119"/>
      <c r="F486" s="118"/>
      <c r="G486" s="118"/>
      <c r="H486" s="118"/>
      <c r="I486" s="118"/>
      <c r="AF486" s="22"/>
      <c r="AG486" s="22"/>
      <c r="AH486" s="22"/>
      <c r="AI486" s="22"/>
      <c r="AJ486" s="22"/>
      <c r="AK486" s="23"/>
      <c r="AN486" s="24"/>
      <c r="AO486" s="24"/>
      <c r="AX486" s="25"/>
      <c r="BR486" s="25"/>
      <c r="CF486" s="27"/>
      <c r="CG486" s="27"/>
      <c r="CH486" s="27"/>
      <c r="CI486" s="27"/>
      <c r="CJ486" s="27"/>
      <c r="CK486" s="27"/>
    </row>
    <row r="487" ht="14.25" customHeight="1">
      <c r="A487" s="118"/>
      <c r="B487" s="118"/>
      <c r="C487" s="118"/>
      <c r="D487" s="119"/>
      <c r="E487" s="119"/>
      <c r="F487" s="118"/>
      <c r="G487" s="118"/>
      <c r="H487" s="118"/>
      <c r="I487" s="118"/>
      <c r="AF487" s="22"/>
      <c r="AG487" s="22"/>
      <c r="AH487" s="22"/>
      <c r="AI487" s="22"/>
      <c r="AJ487" s="22"/>
      <c r="AK487" s="23"/>
      <c r="AN487" s="24"/>
      <c r="AO487" s="24"/>
      <c r="AX487" s="25"/>
      <c r="BR487" s="25"/>
      <c r="CF487" s="27"/>
      <c r="CG487" s="27"/>
      <c r="CH487" s="27"/>
      <c r="CI487" s="27"/>
      <c r="CJ487" s="27"/>
      <c r="CK487" s="27"/>
    </row>
    <row r="488" ht="14.25" customHeight="1">
      <c r="A488" s="118"/>
      <c r="B488" s="118"/>
      <c r="C488" s="118"/>
      <c r="D488" s="119"/>
      <c r="E488" s="119"/>
      <c r="F488" s="118"/>
      <c r="G488" s="118"/>
      <c r="H488" s="118"/>
      <c r="I488" s="118"/>
      <c r="AF488" s="22"/>
      <c r="AG488" s="22"/>
      <c r="AH488" s="22"/>
      <c r="AI488" s="22"/>
      <c r="AJ488" s="22"/>
      <c r="AK488" s="23"/>
      <c r="AN488" s="24"/>
      <c r="AO488" s="24"/>
      <c r="AX488" s="25"/>
      <c r="BR488" s="25"/>
      <c r="CF488" s="27"/>
      <c r="CG488" s="27"/>
      <c r="CH488" s="27"/>
      <c r="CI488" s="27"/>
      <c r="CJ488" s="27"/>
      <c r="CK488" s="27"/>
    </row>
    <row r="489" ht="14.25" customHeight="1">
      <c r="A489" s="118"/>
      <c r="B489" s="118"/>
      <c r="C489" s="118"/>
      <c r="D489" s="119"/>
      <c r="E489" s="119"/>
      <c r="F489" s="118"/>
      <c r="G489" s="118"/>
      <c r="H489" s="118"/>
      <c r="I489" s="118"/>
      <c r="AF489" s="22"/>
      <c r="AG489" s="22"/>
      <c r="AH489" s="22"/>
      <c r="AI489" s="22"/>
      <c r="AJ489" s="22"/>
      <c r="AK489" s="23"/>
      <c r="AN489" s="24"/>
      <c r="AO489" s="24"/>
      <c r="AX489" s="25"/>
      <c r="BR489" s="25"/>
      <c r="CF489" s="27"/>
      <c r="CG489" s="27"/>
      <c r="CH489" s="27"/>
      <c r="CI489" s="27"/>
      <c r="CJ489" s="27"/>
      <c r="CK489" s="27"/>
    </row>
    <row r="490" ht="14.25" customHeight="1">
      <c r="A490" s="118"/>
      <c r="B490" s="118"/>
      <c r="C490" s="118"/>
      <c r="D490" s="119"/>
      <c r="E490" s="119"/>
      <c r="F490" s="118"/>
      <c r="G490" s="118"/>
      <c r="H490" s="118"/>
      <c r="I490" s="118"/>
      <c r="AF490" s="22"/>
      <c r="AG490" s="22"/>
      <c r="AH490" s="22"/>
      <c r="AI490" s="22"/>
      <c r="AJ490" s="22"/>
      <c r="AK490" s="23"/>
      <c r="AN490" s="24"/>
      <c r="AO490" s="24"/>
      <c r="AX490" s="25"/>
      <c r="BR490" s="25"/>
      <c r="CF490" s="27"/>
      <c r="CG490" s="27"/>
      <c r="CH490" s="27"/>
      <c r="CI490" s="27"/>
      <c r="CJ490" s="27"/>
      <c r="CK490" s="27"/>
    </row>
    <row r="491" ht="14.25" customHeight="1">
      <c r="A491" s="118"/>
      <c r="B491" s="118"/>
      <c r="C491" s="118"/>
      <c r="D491" s="119"/>
      <c r="E491" s="119"/>
      <c r="F491" s="118"/>
      <c r="G491" s="118"/>
      <c r="H491" s="118"/>
      <c r="I491" s="118"/>
      <c r="AF491" s="22"/>
      <c r="AG491" s="22"/>
      <c r="AH491" s="22"/>
      <c r="AI491" s="22"/>
      <c r="AJ491" s="22"/>
      <c r="AK491" s="23"/>
      <c r="AN491" s="24"/>
      <c r="AO491" s="24"/>
      <c r="AX491" s="25"/>
      <c r="BR491" s="25"/>
      <c r="CF491" s="27"/>
      <c r="CG491" s="27"/>
      <c r="CH491" s="27"/>
      <c r="CI491" s="27"/>
      <c r="CJ491" s="27"/>
      <c r="CK491" s="27"/>
    </row>
    <row r="492" ht="14.25" customHeight="1">
      <c r="A492" s="118"/>
      <c r="B492" s="118"/>
      <c r="C492" s="118"/>
      <c r="D492" s="119"/>
      <c r="E492" s="119"/>
      <c r="F492" s="118"/>
      <c r="G492" s="118"/>
      <c r="H492" s="118"/>
      <c r="I492" s="118"/>
      <c r="AF492" s="22"/>
      <c r="AG492" s="22"/>
      <c r="AH492" s="22"/>
      <c r="AI492" s="22"/>
      <c r="AJ492" s="22"/>
      <c r="AK492" s="23"/>
      <c r="AN492" s="24"/>
      <c r="AO492" s="24"/>
      <c r="AX492" s="25"/>
      <c r="BR492" s="25"/>
      <c r="CF492" s="27"/>
      <c r="CG492" s="27"/>
      <c r="CH492" s="27"/>
      <c r="CI492" s="27"/>
      <c r="CJ492" s="27"/>
      <c r="CK492" s="27"/>
    </row>
    <row r="493" ht="14.25" customHeight="1">
      <c r="A493" s="118"/>
      <c r="B493" s="118"/>
      <c r="C493" s="118"/>
      <c r="D493" s="119"/>
      <c r="E493" s="119"/>
      <c r="F493" s="118"/>
      <c r="G493" s="118"/>
      <c r="H493" s="118"/>
      <c r="I493" s="118"/>
      <c r="AF493" s="22"/>
      <c r="AG493" s="22"/>
      <c r="AH493" s="22"/>
      <c r="AI493" s="22"/>
      <c r="AJ493" s="22"/>
      <c r="AK493" s="23"/>
      <c r="AN493" s="24"/>
      <c r="AO493" s="24"/>
      <c r="AX493" s="25"/>
      <c r="BR493" s="25"/>
      <c r="CF493" s="27"/>
      <c r="CG493" s="27"/>
      <c r="CH493" s="27"/>
      <c r="CI493" s="27"/>
      <c r="CJ493" s="27"/>
      <c r="CK493" s="27"/>
    </row>
    <row r="494" ht="14.25" customHeight="1">
      <c r="A494" s="118"/>
      <c r="B494" s="118"/>
      <c r="C494" s="118"/>
      <c r="D494" s="119"/>
      <c r="E494" s="119"/>
      <c r="F494" s="118"/>
      <c r="G494" s="118"/>
      <c r="H494" s="118"/>
      <c r="I494" s="118"/>
      <c r="AF494" s="22"/>
      <c r="AG494" s="22"/>
      <c r="AH494" s="22"/>
      <c r="AI494" s="22"/>
      <c r="AJ494" s="22"/>
      <c r="AK494" s="23"/>
      <c r="AN494" s="24"/>
      <c r="AO494" s="24"/>
      <c r="AX494" s="25"/>
      <c r="BR494" s="25"/>
      <c r="CF494" s="27"/>
      <c r="CG494" s="27"/>
      <c r="CH494" s="27"/>
      <c r="CI494" s="27"/>
      <c r="CJ494" s="27"/>
      <c r="CK494" s="27"/>
    </row>
    <row r="495" ht="14.25" customHeight="1">
      <c r="A495" s="118"/>
      <c r="B495" s="118"/>
      <c r="C495" s="118"/>
      <c r="D495" s="119"/>
      <c r="E495" s="119"/>
      <c r="F495" s="118"/>
      <c r="G495" s="118"/>
      <c r="H495" s="118"/>
      <c r="I495" s="118"/>
      <c r="AF495" s="22"/>
      <c r="AG495" s="22"/>
      <c r="AH495" s="22"/>
      <c r="AI495" s="22"/>
      <c r="AJ495" s="22"/>
      <c r="AK495" s="23"/>
      <c r="AN495" s="24"/>
      <c r="AO495" s="24"/>
      <c r="AX495" s="25"/>
      <c r="BR495" s="25"/>
      <c r="CF495" s="27"/>
      <c r="CG495" s="27"/>
      <c r="CH495" s="27"/>
      <c r="CI495" s="27"/>
      <c r="CJ495" s="27"/>
      <c r="CK495" s="27"/>
    </row>
    <row r="496" ht="14.25" customHeight="1">
      <c r="A496" s="118"/>
      <c r="B496" s="118"/>
      <c r="C496" s="118"/>
      <c r="D496" s="119"/>
      <c r="E496" s="119"/>
      <c r="F496" s="118"/>
      <c r="G496" s="118"/>
      <c r="H496" s="118"/>
      <c r="I496" s="118"/>
      <c r="AF496" s="22"/>
      <c r="AG496" s="22"/>
      <c r="AH496" s="22"/>
      <c r="AI496" s="22"/>
      <c r="AJ496" s="22"/>
      <c r="AK496" s="23"/>
      <c r="AN496" s="24"/>
      <c r="AO496" s="24"/>
      <c r="AX496" s="25"/>
      <c r="BR496" s="25"/>
      <c r="CF496" s="27"/>
      <c r="CG496" s="27"/>
      <c r="CH496" s="27"/>
      <c r="CI496" s="27"/>
      <c r="CJ496" s="27"/>
      <c r="CK496" s="27"/>
    </row>
    <row r="497" ht="14.25" customHeight="1">
      <c r="A497" s="118"/>
      <c r="B497" s="118"/>
      <c r="C497" s="118"/>
      <c r="D497" s="119"/>
      <c r="E497" s="119"/>
      <c r="F497" s="118"/>
      <c r="G497" s="118"/>
      <c r="H497" s="118"/>
      <c r="I497" s="118"/>
      <c r="AF497" s="22"/>
      <c r="AG497" s="22"/>
      <c r="AH497" s="22"/>
      <c r="AI497" s="22"/>
      <c r="AJ497" s="22"/>
      <c r="AK497" s="23"/>
      <c r="AN497" s="24"/>
      <c r="AO497" s="24"/>
      <c r="AX497" s="25"/>
      <c r="BR497" s="25"/>
      <c r="CF497" s="27"/>
      <c r="CG497" s="27"/>
      <c r="CH497" s="27"/>
      <c r="CI497" s="27"/>
      <c r="CJ497" s="27"/>
      <c r="CK497" s="27"/>
    </row>
    <row r="498" ht="14.25" customHeight="1">
      <c r="A498" s="118"/>
      <c r="B498" s="118"/>
      <c r="C498" s="118"/>
      <c r="D498" s="119"/>
      <c r="E498" s="119"/>
      <c r="F498" s="118"/>
      <c r="G498" s="118"/>
      <c r="H498" s="118"/>
      <c r="I498" s="118"/>
      <c r="AF498" s="22"/>
      <c r="AG498" s="22"/>
      <c r="AH498" s="22"/>
      <c r="AI498" s="22"/>
      <c r="AJ498" s="22"/>
      <c r="AK498" s="23"/>
      <c r="AN498" s="24"/>
      <c r="AO498" s="24"/>
      <c r="AX498" s="25"/>
      <c r="BR498" s="25"/>
      <c r="CF498" s="27"/>
      <c r="CG498" s="27"/>
      <c r="CH498" s="27"/>
      <c r="CI498" s="27"/>
      <c r="CJ498" s="27"/>
      <c r="CK498" s="27"/>
    </row>
    <row r="499" ht="14.25" customHeight="1">
      <c r="A499" s="118"/>
      <c r="B499" s="118"/>
      <c r="C499" s="118"/>
      <c r="D499" s="119"/>
      <c r="E499" s="119"/>
      <c r="F499" s="118"/>
      <c r="G499" s="118"/>
      <c r="H499" s="118"/>
      <c r="I499" s="118"/>
      <c r="AF499" s="22"/>
      <c r="AG499" s="22"/>
      <c r="AH499" s="22"/>
      <c r="AI499" s="22"/>
      <c r="AJ499" s="22"/>
      <c r="AK499" s="23"/>
      <c r="AN499" s="24"/>
      <c r="AO499" s="24"/>
      <c r="AX499" s="25"/>
      <c r="BR499" s="25"/>
      <c r="CF499" s="27"/>
      <c r="CG499" s="27"/>
      <c r="CH499" s="27"/>
      <c r="CI499" s="27"/>
      <c r="CJ499" s="27"/>
      <c r="CK499" s="27"/>
    </row>
    <row r="500" ht="14.25" customHeight="1">
      <c r="A500" s="118"/>
      <c r="B500" s="118"/>
      <c r="C500" s="118"/>
      <c r="D500" s="119"/>
      <c r="E500" s="119"/>
      <c r="F500" s="118"/>
      <c r="G500" s="118"/>
      <c r="H500" s="118"/>
      <c r="I500" s="118"/>
      <c r="AF500" s="22"/>
      <c r="AG500" s="22"/>
      <c r="AH500" s="22"/>
      <c r="AI500" s="22"/>
      <c r="AJ500" s="22"/>
      <c r="AK500" s="23"/>
      <c r="AN500" s="24"/>
      <c r="AO500" s="24"/>
      <c r="AX500" s="25"/>
      <c r="BR500" s="25"/>
      <c r="CF500" s="27"/>
      <c r="CG500" s="27"/>
      <c r="CH500" s="27"/>
      <c r="CI500" s="27"/>
      <c r="CJ500" s="27"/>
      <c r="CK500" s="27"/>
    </row>
    <row r="501" ht="14.25" customHeight="1">
      <c r="A501" s="118"/>
      <c r="B501" s="118"/>
      <c r="C501" s="118"/>
      <c r="D501" s="119"/>
      <c r="E501" s="119"/>
      <c r="F501" s="118"/>
      <c r="G501" s="118"/>
      <c r="H501" s="118"/>
      <c r="I501" s="118"/>
      <c r="AF501" s="22"/>
      <c r="AG501" s="22"/>
      <c r="AH501" s="22"/>
      <c r="AI501" s="22"/>
      <c r="AJ501" s="22"/>
      <c r="AK501" s="23"/>
      <c r="AN501" s="24"/>
      <c r="AO501" s="24"/>
      <c r="AX501" s="25"/>
      <c r="BR501" s="25"/>
      <c r="CF501" s="27"/>
      <c r="CG501" s="27"/>
      <c r="CH501" s="27"/>
      <c r="CI501" s="27"/>
      <c r="CJ501" s="27"/>
      <c r="CK501" s="27"/>
    </row>
    <row r="502" ht="14.25" customHeight="1">
      <c r="A502" s="118"/>
      <c r="B502" s="118"/>
      <c r="C502" s="118"/>
      <c r="D502" s="119"/>
      <c r="E502" s="119"/>
      <c r="F502" s="118"/>
      <c r="G502" s="118"/>
      <c r="H502" s="118"/>
      <c r="I502" s="118"/>
      <c r="AF502" s="22"/>
      <c r="AG502" s="22"/>
      <c r="AH502" s="22"/>
      <c r="AI502" s="22"/>
      <c r="AJ502" s="22"/>
      <c r="AK502" s="23"/>
      <c r="AN502" s="24"/>
      <c r="AO502" s="24"/>
      <c r="AX502" s="25"/>
      <c r="BR502" s="25"/>
      <c r="CF502" s="27"/>
      <c r="CG502" s="27"/>
      <c r="CH502" s="27"/>
      <c r="CI502" s="27"/>
      <c r="CJ502" s="27"/>
      <c r="CK502" s="27"/>
    </row>
    <row r="503" ht="14.25" customHeight="1">
      <c r="A503" s="118"/>
      <c r="B503" s="118"/>
      <c r="C503" s="118"/>
      <c r="D503" s="119"/>
      <c r="E503" s="119"/>
      <c r="F503" s="118"/>
      <c r="G503" s="118"/>
      <c r="H503" s="118"/>
      <c r="I503" s="118"/>
      <c r="AF503" s="22"/>
      <c r="AG503" s="22"/>
      <c r="AH503" s="22"/>
      <c r="AI503" s="22"/>
      <c r="AJ503" s="22"/>
      <c r="AK503" s="23"/>
      <c r="AN503" s="24"/>
      <c r="AO503" s="24"/>
      <c r="AX503" s="25"/>
      <c r="BR503" s="25"/>
      <c r="CF503" s="27"/>
      <c r="CG503" s="27"/>
      <c r="CH503" s="27"/>
      <c r="CI503" s="27"/>
      <c r="CJ503" s="27"/>
      <c r="CK503" s="27"/>
    </row>
    <row r="504" ht="14.25" customHeight="1">
      <c r="A504" s="118"/>
      <c r="B504" s="118"/>
      <c r="C504" s="118"/>
      <c r="D504" s="119"/>
      <c r="E504" s="119"/>
      <c r="F504" s="118"/>
      <c r="G504" s="118"/>
      <c r="H504" s="118"/>
      <c r="I504" s="118"/>
      <c r="AF504" s="22"/>
      <c r="AG504" s="22"/>
      <c r="AH504" s="22"/>
      <c r="AI504" s="22"/>
      <c r="AJ504" s="22"/>
      <c r="AK504" s="23"/>
      <c r="AN504" s="24"/>
      <c r="AO504" s="24"/>
      <c r="AX504" s="25"/>
      <c r="BR504" s="25"/>
      <c r="CF504" s="27"/>
      <c r="CG504" s="27"/>
      <c r="CH504" s="27"/>
      <c r="CI504" s="27"/>
      <c r="CJ504" s="27"/>
      <c r="CK504" s="27"/>
    </row>
    <row r="505" ht="14.25" customHeight="1">
      <c r="A505" s="118"/>
      <c r="B505" s="118"/>
      <c r="C505" s="118"/>
      <c r="D505" s="119"/>
      <c r="E505" s="119"/>
      <c r="F505" s="118"/>
      <c r="G505" s="118"/>
      <c r="H505" s="118"/>
      <c r="I505" s="118"/>
      <c r="AF505" s="22"/>
      <c r="AG505" s="22"/>
      <c r="AH505" s="22"/>
      <c r="AI505" s="22"/>
      <c r="AJ505" s="22"/>
      <c r="AK505" s="23"/>
      <c r="AN505" s="24"/>
      <c r="AO505" s="24"/>
      <c r="AX505" s="25"/>
      <c r="BR505" s="25"/>
      <c r="CF505" s="27"/>
      <c r="CG505" s="27"/>
      <c r="CH505" s="27"/>
      <c r="CI505" s="27"/>
      <c r="CJ505" s="27"/>
      <c r="CK505" s="27"/>
    </row>
    <row r="506" ht="14.25" customHeight="1">
      <c r="A506" s="118"/>
      <c r="B506" s="118"/>
      <c r="C506" s="118"/>
      <c r="D506" s="119"/>
      <c r="E506" s="119"/>
      <c r="F506" s="118"/>
      <c r="G506" s="118"/>
      <c r="H506" s="118"/>
      <c r="I506" s="118"/>
      <c r="AF506" s="22"/>
      <c r="AG506" s="22"/>
      <c r="AH506" s="22"/>
      <c r="AI506" s="22"/>
      <c r="AJ506" s="22"/>
      <c r="AK506" s="23"/>
      <c r="AN506" s="24"/>
      <c r="AO506" s="24"/>
      <c r="AX506" s="25"/>
      <c r="BR506" s="25"/>
      <c r="CF506" s="27"/>
      <c r="CG506" s="27"/>
      <c r="CH506" s="27"/>
      <c r="CI506" s="27"/>
      <c r="CJ506" s="27"/>
      <c r="CK506" s="27"/>
    </row>
    <row r="507" ht="14.25" customHeight="1">
      <c r="A507" s="118"/>
      <c r="B507" s="118"/>
      <c r="C507" s="118"/>
      <c r="D507" s="119"/>
      <c r="E507" s="119"/>
      <c r="F507" s="118"/>
      <c r="G507" s="118"/>
      <c r="H507" s="118"/>
      <c r="I507" s="118"/>
      <c r="AF507" s="22"/>
      <c r="AG507" s="22"/>
      <c r="AH507" s="22"/>
      <c r="AI507" s="22"/>
      <c r="AJ507" s="22"/>
      <c r="AK507" s="23"/>
      <c r="AN507" s="24"/>
      <c r="AO507" s="24"/>
      <c r="AX507" s="25"/>
      <c r="BR507" s="25"/>
      <c r="CF507" s="27"/>
      <c r="CG507" s="27"/>
      <c r="CH507" s="27"/>
      <c r="CI507" s="27"/>
      <c r="CJ507" s="27"/>
      <c r="CK507" s="27"/>
    </row>
    <row r="508" ht="14.25" customHeight="1">
      <c r="A508" s="118"/>
      <c r="B508" s="118"/>
      <c r="C508" s="118"/>
      <c r="D508" s="119"/>
      <c r="E508" s="119"/>
      <c r="F508" s="118"/>
      <c r="G508" s="118"/>
      <c r="H508" s="118"/>
      <c r="I508" s="118"/>
      <c r="AF508" s="22"/>
      <c r="AG508" s="22"/>
      <c r="AH508" s="22"/>
      <c r="AI508" s="22"/>
      <c r="AJ508" s="22"/>
      <c r="AK508" s="23"/>
      <c r="AN508" s="24"/>
      <c r="AO508" s="24"/>
      <c r="AX508" s="25"/>
      <c r="BR508" s="25"/>
      <c r="CF508" s="27"/>
      <c r="CG508" s="27"/>
      <c r="CH508" s="27"/>
      <c r="CI508" s="27"/>
      <c r="CJ508" s="27"/>
      <c r="CK508" s="27"/>
    </row>
    <row r="509" ht="14.25" customHeight="1">
      <c r="A509" s="118"/>
      <c r="B509" s="118"/>
      <c r="C509" s="118"/>
      <c r="D509" s="119"/>
      <c r="E509" s="119"/>
      <c r="F509" s="118"/>
      <c r="G509" s="118"/>
      <c r="H509" s="118"/>
      <c r="I509" s="118"/>
      <c r="AF509" s="22"/>
      <c r="AG509" s="22"/>
      <c r="AH509" s="22"/>
      <c r="AI509" s="22"/>
      <c r="AJ509" s="22"/>
      <c r="AK509" s="23"/>
      <c r="AN509" s="24"/>
      <c r="AO509" s="24"/>
      <c r="AX509" s="25"/>
      <c r="BR509" s="25"/>
      <c r="CF509" s="27"/>
      <c r="CG509" s="27"/>
      <c r="CH509" s="27"/>
      <c r="CI509" s="27"/>
      <c r="CJ509" s="27"/>
      <c r="CK509" s="27"/>
    </row>
    <row r="510" ht="14.25" customHeight="1">
      <c r="A510" s="118"/>
      <c r="B510" s="118"/>
      <c r="C510" s="118"/>
      <c r="D510" s="119"/>
      <c r="E510" s="119"/>
      <c r="F510" s="118"/>
      <c r="G510" s="118"/>
      <c r="H510" s="118"/>
      <c r="I510" s="118"/>
      <c r="AF510" s="22"/>
      <c r="AG510" s="22"/>
      <c r="AH510" s="22"/>
      <c r="AI510" s="22"/>
      <c r="AJ510" s="22"/>
      <c r="AK510" s="23"/>
      <c r="AN510" s="24"/>
      <c r="AO510" s="24"/>
      <c r="AX510" s="25"/>
      <c r="BR510" s="25"/>
      <c r="CF510" s="27"/>
      <c r="CG510" s="27"/>
      <c r="CH510" s="27"/>
      <c r="CI510" s="27"/>
      <c r="CJ510" s="27"/>
      <c r="CK510" s="27"/>
    </row>
    <row r="511" ht="14.25" customHeight="1">
      <c r="A511" s="118"/>
      <c r="B511" s="118"/>
      <c r="C511" s="118"/>
      <c r="D511" s="119"/>
      <c r="E511" s="119"/>
      <c r="F511" s="118"/>
      <c r="G511" s="118"/>
      <c r="H511" s="118"/>
      <c r="I511" s="118"/>
      <c r="AF511" s="22"/>
      <c r="AG511" s="22"/>
      <c r="AH511" s="22"/>
      <c r="AI511" s="22"/>
      <c r="AJ511" s="22"/>
      <c r="AK511" s="23"/>
      <c r="AN511" s="24"/>
      <c r="AO511" s="24"/>
      <c r="AX511" s="25"/>
      <c r="BR511" s="25"/>
      <c r="CF511" s="27"/>
      <c r="CG511" s="27"/>
      <c r="CH511" s="27"/>
      <c r="CI511" s="27"/>
      <c r="CJ511" s="27"/>
      <c r="CK511" s="27"/>
    </row>
    <row r="512" ht="14.25" customHeight="1">
      <c r="A512" s="118"/>
      <c r="B512" s="118"/>
      <c r="C512" s="118"/>
      <c r="D512" s="119"/>
      <c r="E512" s="119"/>
      <c r="F512" s="118"/>
      <c r="G512" s="118"/>
      <c r="H512" s="118"/>
      <c r="I512" s="118"/>
      <c r="AF512" s="22"/>
      <c r="AG512" s="22"/>
      <c r="AH512" s="22"/>
      <c r="AI512" s="22"/>
      <c r="AJ512" s="22"/>
      <c r="AK512" s="23"/>
      <c r="AN512" s="24"/>
      <c r="AO512" s="24"/>
      <c r="AX512" s="25"/>
      <c r="BR512" s="25"/>
      <c r="CF512" s="27"/>
      <c r="CG512" s="27"/>
      <c r="CH512" s="27"/>
      <c r="CI512" s="27"/>
      <c r="CJ512" s="27"/>
      <c r="CK512" s="27"/>
    </row>
    <row r="513" ht="14.25" customHeight="1">
      <c r="A513" s="118"/>
      <c r="B513" s="118"/>
      <c r="C513" s="118"/>
      <c r="D513" s="119"/>
      <c r="E513" s="119"/>
      <c r="F513" s="118"/>
      <c r="G513" s="118"/>
      <c r="H513" s="118"/>
      <c r="I513" s="118"/>
      <c r="AF513" s="22"/>
      <c r="AG513" s="22"/>
      <c r="AH513" s="22"/>
      <c r="AI513" s="22"/>
      <c r="AJ513" s="22"/>
      <c r="AK513" s="23"/>
      <c r="AN513" s="24"/>
      <c r="AO513" s="24"/>
      <c r="AX513" s="25"/>
      <c r="BR513" s="25"/>
      <c r="CF513" s="27"/>
      <c r="CG513" s="27"/>
      <c r="CH513" s="27"/>
      <c r="CI513" s="27"/>
      <c r="CJ513" s="27"/>
      <c r="CK513" s="27"/>
    </row>
    <row r="514" ht="14.25" customHeight="1">
      <c r="A514" s="118"/>
      <c r="B514" s="118"/>
      <c r="C514" s="118"/>
      <c r="D514" s="119"/>
      <c r="E514" s="119"/>
      <c r="F514" s="118"/>
      <c r="G514" s="118"/>
      <c r="H514" s="118"/>
      <c r="I514" s="118"/>
      <c r="AF514" s="22"/>
      <c r="AG514" s="22"/>
      <c r="AH514" s="22"/>
      <c r="AI514" s="22"/>
      <c r="AJ514" s="22"/>
      <c r="AK514" s="23"/>
      <c r="AN514" s="24"/>
      <c r="AO514" s="24"/>
      <c r="AX514" s="25"/>
      <c r="BR514" s="25"/>
      <c r="CF514" s="27"/>
      <c r="CG514" s="27"/>
      <c r="CH514" s="27"/>
      <c r="CI514" s="27"/>
      <c r="CJ514" s="27"/>
      <c r="CK514" s="27"/>
    </row>
    <row r="515" ht="14.25" customHeight="1">
      <c r="A515" s="118"/>
      <c r="B515" s="118"/>
      <c r="C515" s="118"/>
      <c r="D515" s="119"/>
      <c r="E515" s="119"/>
      <c r="F515" s="118"/>
      <c r="G515" s="118"/>
      <c r="H515" s="118"/>
      <c r="I515" s="118"/>
      <c r="AF515" s="22"/>
      <c r="AG515" s="22"/>
      <c r="AH515" s="22"/>
      <c r="AI515" s="22"/>
      <c r="AJ515" s="22"/>
      <c r="AK515" s="23"/>
      <c r="AN515" s="24"/>
      <c r="AO515" s="24"/>
      <c r="AX515" s="25"/>
      <c r="BR515" s="25"/>
      <c r="CF515" s="27"/>
      <c r="CG515" s="27"/>
      <c r="CH515" s="27"/>
      <c r="CI515" s="27"/>
      <c r="CJ515" s="27"/>
      <c r="CK515" s="27"/>
    </row>
    <row r="516" ht="14.25" customHeight="1">
      <c r="A516" s="118"/>
      <c r="B516" s="118"/>
      <c r="C516" s="118"/>
      <c r="D516" s="119"/>
      <c r="E516" s="119"/>
      <c r="F516" s="118"/>
      <c r="G516" s="118"/>
      <c r="H516" s="118"/>
      <c r="I516" s="118"/>
      <c r="AF516" s="22"/>
      <c r="AG516" s="22"/>
      <c r="AH516" s="22"/>
      <c r="AI516" s="22"/>
      <c r="AJ516" s="22"/>
      <c r="AK516" s="23"/>
      <c r="AN516" s="24"/>
      <c r="AO516" s="24"/>
      <c r="AX516" s="25"/>
      <c r="BR516" s="25"/>
      <c r="CF516" s="27"/>
      <c r="CG516" s="27"/>
      <c r="CH516" s="27"/>
      <c r="CI516" s="27"/>
      <c r="CJ516" s="27"/>
      <c r="CK516" s="27"/>
    </row>
    <row r="517" ht="14.25" customHeight="1">
      <c r="A517" s="118"/>
      <c r="B517" s="118"/>
      <c r="C517" s="118"/>
      <c r="D517" s="119"/>
      <c r="E517" s="119"/>
      <c r="F517" s="118"/>
      <c r="G517" s="118"/>
      <c r="H517" s="118"/>
      <c r="I517" s="118"/>
      <c r="AF517" s="22"/>
      <c r="AG517" s="22"/>
      <c r="AH517" s="22"/>
      <c r="AI517" s="22"/>
      <c r="AJ517" s="22"/>
      <c r="AK517" s="23"/>
      <c r="AN517" s="24"/>
      <c r="AO517" s="24"/>
      <c r="AX517" s="25"/>
      <c r="BR517" s="25"/>
      <c r="CF517" s="27"/>
      <c r="CG517" s="27"/>
      <c r="CH517" s="27"/>
      <c r="CI517" s="27"/>
      <c r="CJ517" s="27"/>
      <c r="CK517" s="27"/>
    </row>
    <row r="518" ht="14.25" customHeight="1">
      <c r="A518" s="118"/>
      <c r="B518" s="118"/>
      <c r="C518" s="118"/>
      <c r="D518" s="119"/>
      <c r="E518" s="119"/>
      <c r="F518" s="118"/>
      <c r="G518" s="118"/>
      <c r="H518" s="118"/>
      <c r="I518" s="118"/>
      <c r="AF518" s="22"/>
      <c r="AG518" s="22"/>
      <c r="AH518" s="22"/>
      <c r="AI518" s="22"/>
      <c r="AJ518" s="22"/>
      <c r="AK518" s="23"/>
      <c r="AN518" s="24"/>
      <c r="AO518" s="24"/>
      <c r="AX518" s="25"/>
      <c r="BR518" s="25"/>
      <c r="CF518" s="27"/>
      <c r="CG518" s="27"/>
      <c r="CH518" s="27"/>
      <c r="CI518" s="27"/>
      <c r="CJ518" s="27"/>
      <c r="CK518" s="27"/>
    </row>
    <row r="519" ht="14.25" customHeight="1">
      <c r="A519" s="118"/>
      <c r="B519" s="118"/>
      <c r="C519" s="118"/>
      <c r="D519" s="119"/>
      <c r="E519" s="119"/>
      <c r="F519" s="118"/>
      <c r="G519" s="118"/>
      <c r="H519" s="118"/>
      <c r="I519" s="118"/>
      <c r="AF519" s="22"/>
      <c r="AG519" s="22"/>
      <c r="AH519" s="22"/>
      <c r="AI519" s="22"/>
      <c r="AJ519" s="22"/>
      <c r="AK519" s="23"/>
      <c r="AN519" s="24"/>
      <c r="AO519" s="24"/>
      <c r="AX519" s="25"/>
      <c r="BR519" s="25"/>
      <c r="CF519" s="27"/>
      <c r="CG519" s="27"/>
      <c r="CH519" s="27"/>
      <c r="CI519" s="27"/>
      <c r="CJ519" s="27"/>
      <c r="CK519" s="27"/>
    </row>
    <row r="520" ht="14.25" customHeight="1">
      <c r="A520" s="118"/>
      <c r="B520" s="118"/>
      <c r="C520" s="118"/>
      <c r="D520" s="119"/>
      <c r="E520" s="119"/>
      <c r="F520" s="118"/>
      <c r="G520" s="118"/>
      <c r="H520" s="118"/>
      <c r="I520" s="118"/>
      <c r="AF520" s="22"/>
      <c r="AG520" s="22"/>
      <c r="AH520" s="22"/>
      <c r="AI520" s="22"/>
      <c r="AJ520" s="22"/>
      <c r="AK520" s="23"/>
      <c r="AN520" s="24"/>
      <c r="AO520" s="24"/>
      <c r="AX520" s="25"/>
      <c r="BR520" s="25"/>
      <c r="CF520" s="27"/>
      <c r="CG520" s="27"/>
      <c r="CH520" s="27"/>
      <c r="CI520" s="27"/>
      <c r="CJ520" s="27"/>
      <c r="CK520" s="27"/>
    </row>
    <row r="521" ht="14.25" customHeight="1">
      <c r="A521" s="118"/>
      <c r="B521" s="118"/>
      <c r="C521" s="118"/>
      <c r="D521" s="119"/>
      <c r="E521" s="119"/>
      <c r="F521" s="118"/>
      <c r="G521" s="118"/>
      <c r="H521" s="118"/>
      <c r="I521" s="118"/>
      <c r="AF521" s="22"/>
      <c r="AG521" s="22"/>
      <c r="AH521" s="22"/>
      <c r="AI521" s="22"/>
      <c r="AJ521" s="22"/>
      <c r="AK521" s="23"/>
      <c r="AN521" s="24"/>
      <c r="AO521" s="24"/>
      <c r="AX521" s="25"/>
      <c r="BR521" s="25"/>
      <c r="CF521" s="27"/>
      <c r="CG521" s="27"/>
      <c r="CH521" s="27"/>
      <c r="CI521" s="27"/>
      <c r="CJ521" s="27"/>
      <c r="CK521" s="27"/>
    </row>
    <row r="522" ht="14.25" customHeight="1">
      <c r="A522" s="118"/>
      <c r="B522" s="118"/>
      <c r="C522" s="118"/>
      <c r="D522" s="119"/>
      <c r="E522" s="119"/>
      <c r="F522" s="118"/>
      <c r="G522" s="118"/>
      <c r="H522" s="118"/>
      <c r="I522" s="118"/>
      <c r="AF522" s="22"/>
      <c r="AG522" s="22"/>
      <c r="AH522" s="22"/>
      <c r="AI522" s="22"/>
      <c r="AJ522" s="22"/>
      <c r="AK522" s="23"/>
      <c r="AN522" s="24"/>
      <c r="AO522" s="24"/>
      <c r="AX522" s="25"/>
      <c r="BR522" s="25"/>
      <c r="CF522" s="27"/>
      <c r="CG522" s="27"/>
      <c r="CH522" s="27"/>
      <c r="CI522" s="27"/>
      <c r="CJ522" s="27"/>
      <c r="CK522" s="27"/>
    </row>
    <row r="523" ht="14.25" customHeight="1">
      <c r="A523" s="118"/>
      <c r="B523" s="118"/>
      <c r="C523" s="118"/>
      <c r="D523" s="119"/>
      <c r="E523" s="119"/>
      <c r="F523" s="118"/>
      <c r="G523" s="118"/>
      <c r="H523" s="118"/>
      <c r="I523" s="118"/>
      <c r="AF523" s="22"/>
      <c r="AG523" s="22"/>
      <c r="AH523" s="22"/>
      <c r="AI523" s="22"/>
      <c r="AJ523" s="22"/>
      <c r="AK523" s="23"/>
      <c r="AN523" s="24"/>
      <c r="AO523" s="24"/>
      <c r="AX523" s="25"/>
      <c r="BR523" s="25"/>
      <c r="CF523" s="27"/>
      <c r="CG523" s="27"/>
      <c r="CH523" s="27"/>
      <c r="CI523" s="27"/>
      <c r="CJ523" s="27"/>
      <c r="CK523" s="27"/>
    </row>
    <row r="524" ht="14.25" customHeight="1">
      <c r="A524" s="118"/>
      <c r="B524" s="118"/>
      <c r="C524" s="118"/>
      <c r="D524" s="119"/>
      <c r="E524" s="119"/>
      <c r="F524" s="118"/>
      <c r="G524" s="118"/>
      <c r="H524" s="118"/>
      <c r="I524" s="118"/>
      <c r="AF524" s="22"/>
      <c r="AG524" s="22"/>
      <c r="AH524" s="22"/>
      <c r="AI524" s="22"/>
      <c r="AJ524" s="22"/>
      <c r="AK524" s="23"/>
      <c r="AN524" s="24"/>
      <c r="AO524" s="24"/>
      <c r="AX524" s="25"/>
      <c r="BR524" s="25"/>
      <c r="CF524" s="27"/>
      <c r="CG524" s="27"/>
      <c r="CH524" s="27"/>
      <c r="CI524" s="27"/>
      <c r="CJ524" s="27"/>
      <c r="CK524" s="27"/>
    </row>
    <row r="525" ht="14.25" customHeight="1">
      <c r="A525" s="118"/>
      <c r="B525" s="118"/>
      <c r="C525" s="118"/>
      <c r="D525" s="119"/>
      <c r="E525" s="119"/>
      <c r="F525" s="118"/>
      <c r="G525" s="118"/>
      <c r="H525" s="118"/>
      <c r="I525" s="118"/>
      <c r="AF525" s="22"/>
      <c r="AG525" s="22"/>
      <c r="AH525" s="22"/>
      <c r="AI525" s="22"/>
      <c r="AJ525" s="22"/>
      <c r="AK525" s="23"/>
      <c r="AN525" s="24"/>
      <c r="AO525" s="24"/>
      <c r="AX525" s="25"/>
      <c r="BR525" s="25"/>
      <c r="CF525" s="27"/>
      <c r="CG525" s="27"/>
      <c r="CH525" s="27"/>
      <c r="CI525" s="27"/>
      <c r="CJ525" s="27"/>
      <c r="CK525" s="27"/>
    </row>
    <row r="526" ht="14.25" customHeight="1">
      <c r="A526" s="118"/>
      <c r="B526" s="118"/>
      <c r="C526" s="118"/>
      <c r="D526" s="119"/>
      <c r="E526" s="119"/>
      <c r="F526" s="118"/>
      <c r="G526" s="118"/>
      <c r="H526" s="118"/>
      <c r="I526" s="118"/>
      <c r="AF526" s="22"/>
      <c r="AG526" s="22"/>
      <c r="AH526" s="22"/>
      <c r="AI526" s="22"/>
      <c r="AJ526" s="22"/>
      <c r="AK526" s="23"/>
      <c r="AN526" s="24"/>
      <c r="AO526" s="24"/>
      <c r="AX526" s="25"/>
      <c r="BR526" s="25"/>
      <c r="CF526" s="27"/>
      <c r="CG526" s="27"/>
      <c r="CH526" s="27"/>
      <c r="CI526" s="27"/>
      <c r="CJ526" s="27"/>
      <c r="CK526" s="27"/>
    </row>
    <row r="527" ht="14.25" customHeight="1">
      <c r="A527" s="118"/>
      <c r="B527" s="118"/>
      <c r="C527" s="118"/>
      <c r="D527" s="119"/>
      <c r="E527" s="119"/>
      <c r="F527" s="118"/>
      <c r="G527" s="118"/>
      <c r="H527" s="118"/>
      <c r="I527" s="118"/>
      <c r="AF527" s="22"/>
      <c r="AG527" s="22"/>
      <c r="AH527" s="22"/>
      <c r="AI527" s="22"/>
      <c r="AJ527" s="22"/>
      <c r="AK527" s="23"/>
      <c r="AN527" s="24"/>
      <c r="AO527" s="24"/>
      <c r="AX527" s="25"/>
      <c r="BR527" s="25"/>
      <c r="CF527" s="27"/>
      <c r="CG527" s="27"/>
      <c r="CH527" s="27"/>
      <c r="CI527" s="27"/>
      <c r="CJ527" s="27"/>
      <c r="CK527" s="27"/>
    </row>
    <row r="528" ht="14.25" customHeight="1">
      <c r="A528" s="118"/>
      <c r="B528" s="118"/>
      <c r="C528" s="118"/>
      <c r="D528" s="119"/>
      <c r="E528" s="119"/>
      <c r="F528" s="118"/>
      <c r="G528" s="118"/>
      <c r="H528" s="118"/>
      <c r="I528" s="118"/>
      <c r="AF528" s="22"/>
      <c r="AG528" s="22"/>
      <c r="AH528" s="22"/>
      <c r="AI528" s="22"/>
      <c r="AJ528" s="22"/>
      <c r="AK528" s="23"/>
      <c r="AN528" s="24"/>
      <c r="AO528" s="24"/>
      <c r="AX528" s="25"/>
      <c r="BR528" s="25"/>
      <c r="CF528" s="27"/>
      <c r="CG528" s="27"/>
      <c r="CH528" s="27"/>
      <c r="CI528" s="27"/>
      <c r="CJ528" s="27"/>
      <c r="CK528" s="27"/>
    </row>
    <row r="529" ht="14.25" customHeight="1">
      <c r="A529" s="118"/>
      <c r="B529" s="118"/>
      <c r="C529" s="118"/>
      <c r="D529" s="119"/>
      <c r="E529" s="119"/>
      <c r="F529" s="118"/>
      <c r="G529" s="118"/>
      <c r="H529" s="118"/>
      <c r="I529" s="118"/>
      <c r="AF529" s="22"/>
      <c r="AG529" s="22"/>
      <c r="AH529" s="22"/>
      <c r="AI529" s="22"/>
      <c r="AJ529" s="22"/>
      <c r="AK529" s="23"/>
      <c r="AN529" s="24"/>
      <c r="AO529" s="24"/>
      <c r="AX529" s="25"/>
      <c r="BR529" s="25"/>
      <c r="CF529" s="27"/>
      <c r="CG529" s="27"/>
      <c r="CH529" s="27"/>
      <c r="CI529" s="27"/>
      <c r="CJ529" s="27"/>
      <c r="CK529" s="27"/>
    </row>
    <row r="530" ht="14.25" customHeight="1">
      <c r="A530" s="118"/>
      <c r="B530" s="118"/>
      <c r="C530" s="118"/>
      <c r="D530" s="119"/>
      <c r="E530" s="119"/>
      <c r="F530" s="118"/>
      <c r="G530" s="118"/>
      <c r="H530" s="118"/>
      <c r="I530" s="118"/>
      <c r="AF530" s="22"/>
      <c r="AG530" s="22"/>
      <c r="AH530" s="22"/>
      <c r="AI530" s="22"/>
      <c r="AJ530" s="22"/>
      <c r="AK530" s="23"/>
      <c r="AN530" s="24"/>
      <c r="AO530" s="24"/>
      <c r="AX530" s="25"/>
      <c r="BR530" s="25"/>
      <c r="CF530" s="27"/>
      <c r="CG530" s="27"/>
      <c r="CH530" s="27"/>
      <c r="CI530" s="27"/>
      <c r="CJ530" s="27"/>
      <c r="CK530" s="27"/>
    </row>
    <row r="531" ht="14.25" customHeight="1">
      <c r="A531" s="118"/>
      <c r="B531" s="118"/>
      <c r="C531" s="118"/>
      <c r="D531" s="119"/>
      <c r="E531" s="119"/>
      <c r="F531" s="118"/>
      <c r="G531" s="118"/>
      <c r="H531" s="118"/>
      <c r="I531" s="118"/>
      <c r="AF531" s="22"/>
      <c r="AG531" s="22"/>
      <c r="AH531" s="22"/>
      <c r="AI531" s="22"/>
      <c r="AJ531" s="22"/>
      <c r="AK531" s="23"/>
      <c r="AN531" s="24"/>
      <c r="AO531" s="24"/>
      <c r="AX531" s="25"/>
      <c r="BR531" s="25"/>
      <c r="CF531" s="27"/>
      <c r="CG531" s="27"/>
      <c r="CH531" s="27"/>
      <c r="CI531" s="27"/>
      <c r="CJ531" s="27"/>
      <c r="CK531" s="27"/>
    </row>
    <row r="532" ht="14.25" customHeight="1">
      <c r="A532" s="118"/>
      <c r="B532" s="118"/>
      <c r="C532" s="118"/>
      <c r="D532" s="119"/>
      <c r="E532" s="119"/>
      <c r="F532" s="118"/>
      <c r="G532" s="118"/>
      <c r="H532" s="118"/>
      <c r="I532" s="118"/>
      <c r="AF532" s="22"/>
      <c r="AG532" s="22"/>
      <c r="AH532" s="22"/>
      <c r="AI532" s="22"/>
      <c r="AJ532" s="22"/>
      <c r="AK532" s="23"/>
      <c r="AN532" s="24"/>
      <c r="AO532" s="24"/>
      <c r="AX532" s="25"/>
      <c r="BR532" s="25"/>
      <c r="CF532" s="27"/>
      <c r="CG532" s="27"/>
      <c r="CH532" s="27"/>
      <c r="CI532" s="27"/>
      <c r="CJ532" s="27"/>
      <c r="CK532" s="27"/>
    </row>
    <row r="533" ht="14.25" customHeight="1">
      <c r="A533" s="118"/>
      <c r="B533" s="118"/>
      <c r="C533" s="118"/>
      <c r="D533" s="119"/>
      <c r="E533" s="119"/>
      <c r="F533" s="118"/>
      <c r="G533" s="118"/>
      <c r="H533" s="118"/>
      <c r="I533" s="118"/>
      <c r="AF533" s="22"/>
      <c r="AG533" s="22"/>
      <c r="AH533" s="22"/>
      <c r="AI533" s="22"/>
      <c r="AJ533" s="22"/>
      <c r="AK533" s="23"/>
      <c r="AN533" s="24"/>
      <c r="AO533" s="24"/>
      <c r="AX533" s="25"/>
      <c r="BR533" s="25"/>
      <c r="CF533" s="27"/>
      <c r="CG533" s="27"/>
      <c r="CH533" s="27"/>
      <c r="CI533" s="27"/>
      <c r="CJ533" s="27"/>
      <c r="CK533" s="27"/>
    </row>
    <row r="534" ht="14.25" customHeight="1">
      <c r="A534" s="118"/>
      <c r="B534" s="118"/>
      <c r="C534" s="118"/>
      <c r="D534" s="119"/>
      <c r="E534" s="119"/>
      <c r="F534" s="118"/>
      <c r="G534" s="118"/>
      <c r="H534" s="118"/>
      <c r="I534" s="118"/>
      <c r="AF534" s="22"/>
      <c r="AG534" s="22"/>
      <c r="AH534" s="22"/>
      <c r="AI534" s="22"/>
      <c r="AJ534" s="22"/>
      <c r="AK534" s="23"/>
      <c r="AN534" s="24"/>
      <c r="AO534" s="24"/>
      <c r="AX534" s="25"/>
      <c r="BR534" s="25"/>
      <c r="CF534" s="27"/>
      <c r="CG534" s="27"/>
      <c r="CH534" s="27"/>
      <c r="CI534" s="27"/>
      <c r="CJ534" s="27"/>
      <c r="CK534" s="27"/>
    </row>
    <row r="535" ht="14.25" customHeight="1">
      <c r="A535" s="118"/>
      <c r="B535" s="118"/>
      <c r="C535" s="118"/>
      <c r="D535" s="119"/>
      <c r="E535" s="119"/>
      <c r="F535" s="118"/>
      <c r="G535" s="118"/>
      <c r="H535" s="118"/>
      <c r="I535" s="118"/>
      <c r="AF535" s="22"/>
      <c r="AG535" s="22"/>
      <c r="AH535" s="22"/>
      <c r="AI535" s="22"/>
      <c r="AJ535" s="22"/>
      <c r="AK535" s="23"/>
      <c r="AN535" s="24"/>
      <c r="AO535" s="24"/>
      <c r="AX535" s="25"/>
      <c r="BR535" s="25"/>
      <c r="CF535" s="27"/>
      <c r="CG535" s="27"/>
      <c r="CH535" s="27"/>
      <c r="CI535" s="27"/>
      <c r="CJ535" s="27"/>
      <c r="CK535" s="27"/>
    </row>
    <row r="536" ht="14.25" customHeight="1">
      <c r="A536" s="118"/>
      <c r="B536" s="118"/>
      <c r="C536" s="118"/>
      <c r="D536" s="119"/>
      <c r="E536" s="119"/>
      <c r="F536" s="118"/>
      <c r="G536" s="118"/>
      <c r="H536" s="118"/>
      <c r="I536" s="118"/>
      <c r="AF536" s="22"/>
      <c r="AG536" s="22"/>
      <c r="AH536" s="22"/>
      <c r="AI536" s="22"/>
      <c r="AJ536" s="22"/>
      <c r="AK536" s="23"/>
      <c r="AN536" s="24"/>
      <c r="AO536" s="24"/>
      <c r="AX536" s="25"/>
      <c r="BR536" s="25"/>
      <c r="CF536" s="27"/>
      <c r="CG536" s="27"/>
      <c r="CH536" s="27"/>
      <c r="CI536" s="27"/>
      <c r="CJ536" s="27"/>
      <c r="CK536" s="27"/>
    </row>
    <row r="537" ht="14.25" customHeight="1">
      <c r="A537" s="118"/>
      <c r="B537" s="118"/>
      <c r="C537" s="118"/>
      <c r="D537" s="119"/>
      <c r="E537" s="119"/>
      <c r="F537" s="118"/>
      <c r="G537" s="118"/>
      <c r="H537" s="118"/>
      <c r="I537" s="118"/>
      <c r="AF537" s="22"/>
      <c r="AG537" s="22"/>
      <c r="AH537" s="22"/>
      <c r="AI537" s="22"/>
      <c r="AJ537" s="22"/>
      <c r="AK537" s="23"/>
      <c r="AN537" s="24"/>
      <c r="AO537" s="24"/>
      <c r="AX537" s="25"/>
      <c r="BR537" s="25"/>
      <c r="CF537" s="27"/>
      <c r="CG537" s="27"/>
      <c r="CH537" s="27"/>
      <c r="CI537" s="27"/>
      <c r="CJ537" s="27"/>
      <c r="CK537" s="27"/>
    </row>
    <row r="538" ht="14.25" customHeight="1">
      <c r="A538" s="118"/>
      <c r="B538" s="118"/>
      <c r="C538" s="118"/>
      <c r="D538" s="119"/>
      <c r="E538" s="119"/>
      <c r="F538" s="118"/>
      <c r="G538" s="118"/>
      <c r="H538" s="118"/>
      <c r="I538" s="118"/>
      <c r="AF538" s="22"/>
      <c r="AG538" s="22"/>
      <c r="AH538" s="22"/>
      <c r="AI538" s="22"/>
      <c r="AJ538" s="22"/>
      <c r="AK538" s="23"/>
      <c r="AN538" s="24"/>
      <c r="AO538" s="24"/>
      <c r="AX538" s="25"/>
      <c r="BR538" s="25"/>
      <c r="CF538" s="27"/>
      <c r="CG538" s="27"/>
      <c r="CH538" s="27"/>
      <c r="CI538" s="27"/>
      <c r="CJ538" s="27"/>
      <c r="CK538" s="27"/>
    </row>
    <row r="539" ht="14.25" customHeight="1">
      <c r="A539" s="118"/>
      <c r="B539" s="118"/>
      <c r="C539" s="118"/>
      <c r="D539" s="119"/>
      <c r="E539" s="119"/>
      <c r="F539" s="118"/>
      <c r="G539" s="118"/>
      <c r="H539" s="118"/>
      <c r="I539" s="118"/>
      <c r="AF539" s="22"/>
      <c r="AG539" s="22"/>
      <c r="AH539" s="22"/>
      <c r="AI539" s="22"/>
      <c r="AJ539" s="22"/>
      <c r="AK539" s="23"/>
      <c r="AN539" s="24"/>
      <c r="AO539" s="24"/>
      <c r="AX539" s="25"/>
      <c r="BR539" s="25"/>
      <c r="CF539" s="27"/>
      <c r="CG539" s="27"/>
      <c r="CH539" s="27"/>
      <c r="CI539" s="27"/>
      <c r="CJ539" s="27"/>
      <c r="CK539" s="27"/>
    </row>
    <row r="540" ht="14.25" customHeight="1">
      <c r="A540" s="118"/>
      <c r="B540" s="118"/>
      <c r="C540" s="118"/>
      <c r="D540" s="119"/>
      <c r="E540" s="119"/>
      <c r="F540" s="118"/>
      <c r="G540" s="118"/>
      <c r="H540" s="118"/>
      <c r="I540" s="118"/>
      <c r="AF540" s="22"/>
      <c r="AG540" s="22"/>
      <c r="AH540" s="22"/>
      <c r="AI540" s="22"/>
      <c r="AJ540" s="22"/>
      <c r="AK540" s="23"/>
      <c r="AN540" s="24"/>
      <c r="AO540" s="24"/>
      <c r="AX540" s="25"/>
      <c r="BR540" s="25"/>
      <c r="CF540" s="27"/>
      <c r="CG540" s="27"/>
      <c r="CH540" s="27"/>
      <c r="CI540" s="27"/>
      <c r="CJ540" s="27"/>
      <c r="CK540" s="27"/>
    </row>
    <row r="541" ht="14.25" customHeight="1">
      <c r="A541" s="118"/>
      <c r="B541" s="118"/>
      <c r="C541" s="118"/>
      <c r="D541" s="119"/>
      <c r="E541" s="119"/>
      <c r="F541" s="118"/>
      <c r="G541" s="118"/>
      <c r="H541" s="118"/>
      <c r="I541" s="118"/>
      <c r="AF541" s="22"/>
      <c r="AG541" s="22"/>
      <c r="AH541" s="22"/>
      <c r="AI541" s="22"/>
      <c r="AJ541" s="22"/>
      <c r="AK541" s="23"/>
      <c r="AN541" s="24"/>
      <c r="AO541" s="24"/>
      <c r="AX541" s="25"/>
      <c r="BR541" s="25"/>
      <c r="CF541" s="27"/>
      <c r="CG541" s="27"/>
      <c r="CH541" s="27"/>
      <c r="CI541" s="27"/>
      <c r="CJ541" s="27"/>
      <c r="CK541" s="27"/>
    </row>
    <row r="542" ht="14.25" customHeight="1">
      <c r="A542" s="118"/>
      <c r="B542" s="118"/>
      <c r="C542" s="118"/>
      <c r="D542" s="119"/>
      <c r="E542" s="119"/>
      <c r="F542" s="118"/>
      <c r="G542" s="118"/>
      <c r="H542" s="118"/>
      <c r="I542" s="118"/>
      <c r="AF542" s="22"/>
      <c r="AG542" s="22"/>
      <c r="AH542" s="22"/>
      <c r="AI542" s="22"/>
      <c r="AJ542" s="22"/>
      <c r="AK542" s="23"/>
      <c r="AN542" s="24"/>
      <c r="AO542" s="24"/>
      <c r="AX542" s="25"/>
      <c r="BR542" s="25"/>
      <c r="CF542" s="27"/>
      <c r="CG542" s="27"/>
      <c r="CH542" s="27"/>
      <c r="CI542" s="27"/>
      <c r="CJ542" s="27"/>
      <c r="CK542" s="27"/>
    </row>
    <row r="543" ht="14.25" customHeight="1">
      <c r="A543" s="118"/>
      <c r="B543" s="118"/>
      <c r="C543" s="118"/>
      <c r="D543" s="119"/>
      <c r="E543" s="119"/>
      <c r="F543" s="118"/>
      <c r="G543" s="118"/>
      <c r="H543" s="118"/>
      <c r="I543" s="118"/>
      <c r="AF543" s="22"/>
      <c r="AG543" s="22"/>
      <c r="AH543" s="22"/>
      <c r="AI543" s="22"/>
      <c r="AJ543" s="22"/>
      <c r="AK543" s="23"/>
      <c r="AN543" s="24"/>
      <c r="AO543" s="24"/>
      <c r="AX543" s="25"/>
      <c r="BR543" s="25"/>
      <c r="CF543" s="27"/>
      <c r="CG543" s="27"/>
      <c r="CH543" s="27"/>
      <c r="CI543" s="27"/>
      <c r="CJ543" s="27"/>
      <c r="CK543" s="27"/>
    </row>
    <row r="544" ht="14.25" customHeight="1">
      <c r="A544" s="118"/>
      <c r="B544" s="118"/>
      <c r="C544" s="118"/>
      <c r="D544" s="119"/>
      <c r="E544" s="119"/>
      <c r="F544" s="118"/>
      <c r="G544" s="118"/>
      <c r="H544" s="118"/>
      <c r="I544" s="118"/>
      <c r="AF544" s="22"/>
      <c r="AG544" s="22"/>
      <c r="AH544" s="22"/>
      <c r="AI544" s="22"/>
      <c r="AJ544" s="22"/>
      <c r="AK544" s="23"/>
      <c r="AN544" s="24"/>
      <c r="AO544" s="24"/>
      <c r="AX544" s="25"/>
      <c r="BR544" s="25"/>
      <c r="CF544" s="27"/>
      <c r="CG544" s="27"/>
      <c r="CH544" s="27"/>
      <c r="CI544" s="27"/>
      <c r="CJ544" s="27"/>
      <c r="CK544" s="27"/>
    </row>
    <row r="545" ht="14.25" customHeight="1">
      <c r="A545" s="118"/>
      <c r="B545" s="118"/>
      <c r="C545" s="118"/>
      <c r="D545" s="119"/>
      <c r="E545" s="119"/>
      <c r="F545" s="118"/>
      <c r="G545" s="118"/>
      <c r="H545" s="118"/>
      <c r="I545" s="118"/>
      <c r="AF545" s="22"/>
      <c r="AG545" s="22"/>
      <c r="AH545" s="22"/>
      <c r="AI545" s="22"/>
      <c r="AJ545" s="22"/>
      <c r="AK545" s="23"/>
      <c r="AN545" s="24"/>
      <c r="AO545" s="24"/>
      <c r="AX545" s="25"/>
      <c r="BR545" s="25"/>
      <c r="CF545" s="27"/>
      <c r="CG545" s="27"/>
      <c r="CH545" s="27"/>
      <c r="CI545" s="27"/>
      <c r="CJ545" s="27"/>
      <c r="CK545" s="27"/>
    </row>
    <row r="546" ht="14.25" customHeight="1">
      <c r="A546" s="118"/>
      <c r="B546" s="118"/>
      <c r="C546" s="118"/>
      <c r="D546" s="119"/>
      <c r="E546" s="119"/>
      <c r="F546" s="118"/>
      <c r="G546" s="118"/>
      <c r="H546" s="118"/>
      <c r="I546" s="118"/>
      <c r="AF546" s="22"/>
      <c r="AG546" s="22"/>
      <c r="AH546" s="22"/>
      <c r="AI546" s="22"/>
      <c r="AJ546" s="22"/>
      <c r="AK546" s="23"/>
      <c r="AN546" s="24"/>
      <c r="AO546" s="24"/>
      <c r="AX546" s="25"/>
      <c r="BR546" s="25"/>
      <c r="CF546" s="27"/>
      <c r="CG546" s="27"/>
      <c r="CH546" s="27"/>
      <c r="CI546" s="27"/>
      <c r="CJ546" s="27"/>
      <c r="CK546" s="27"/>
    </row>
    <row r="547" ht="14.25" customHeight="1">
      <c r="A547" s="118"/>
      <c r="B547" s="118"/>
      <c r="C547" s="118"/>
      <c r="D547" s="119"/>
      <c r="E547" s="119"/>
      <c r="F547" s="118"/>
      <c r="G547" s="118"/>
      <c r="H547" s="118"/>
      <c r="I547" s="118"/>
      <c r="AF547" s="22"/>
      <c r="AG547" s="22"/>
      <c r="AH547" s="22"/>
      <c r="AI547" s="22"/>
      <c r="AJ547" s="22"/>
      <c r="AK547" s="23"/>
      <c r="AN547" s="24"/>
      <c r="AO547" s="24"/>
      <c r="AX547" s="25"/>
      <c r="BR547" s="25"/>
      <c r="CF547" s="27"/>
      <c r="CG547" s="27"/>
      <c r="CH547" s="27"/>
      <c r="CI547" s="27"/>
      <c r="CJ547" s="27"/>
      <c r="CK547" s="27"/>
    </row>
    <row r="548" ht="14.25" customHeight="1">
      <c r="A548" s="118"/>
      <c r="B548" s="118"/>
      <c r="C548" s="118"/>
      <c r="D548" s="119"/>
      <c r="E548" s="119"/>
      <c r="F548" s="118"/>
      <c r="G548" s="118"/>
      <c r="H548" s="118"/>
      <c r="I548" s="118"/>
      <c r="AF548" s="22"/>
      <c r="AG548" s="22"/>
      <c r="AH548" s="22"/>
      <c r="AI548" s="22"/>
      <c r="AJ548" s="22"/>
      <c r="AK548" s="23"/>
      <c r="AN548" s="24"/>
      <c r="AO548" s="24"/>
      <c r="AX548" s="25"/>
      <c r="BR548" s="25"/>
      <c r="CF548" s="27"/>
      <c r="CG548" s="27"/>
      <c r="CH548" s="27"/>
      <c r="CI548" s="27"/>
      <c r="CJ548" s="27"/>
      <c r="CK548" s="27"/>
    </row>
    <row r="549" ht="14.25" customHeight="1">
      <c r="A549" s="118"/>
      <c r="B549" s="118"/>
      <c r="C549" s="118"/>
      <c r="D549" s="119"/>
      <c r="E549" s="119"/>
      <c r="F549" s="118"/>
      <c r="G549" s="118"/>
      <c r="H549" s="118"/>
      <c r="I549" s="118"/>
      <c r="AF549" s="22"/>
      <c r="AG549" s="22"/>
      <c r="AH549" s="22"/>
      <c r="AI549" s="22"/>
      <c r="AJ549" s="22"/>
      <c r="AK549" s="23"/>
      <c r="AN549" s="24"/>
      <c r="AO549" s="24"/>
      <c r="AX549" s="25"/>
      <c r="BR549" s="25"/>
      <c r="CF549" s="27"/>
      <c r="CG549" s="27"/>
      <c r="CH549" s="27"/>
      <c r="CI549" s="27"/>
      <c r="CJ549" s="27"/>
      <c r="CK549" s="27"/>
    </row>
    <row r="550" ht="14.25" customHeight="1">
      <c r="A550" s="118"/>
      <c r="B550" s="118"/>
      <c r="C550" s="118"/>
      <c r="D550" s="119"/>
      <c r="E550" s="119"/>
      <c r="F550" s="118"/>
      <c r="G550" s="118"/>
      <c r="H550" s="118"/>
      <c r="I550" s="118"/>
      <c r="AF550" s="22"/>
      <c r="AG550" s="22"/>
      <c r="AH550" s="22"/>
      <c r="AI550" s="22"/>
      <c r="AJ550" s="22"/>
      <c r="AK550" s="23"/>
      <c r="AN550" s="24"/>
      <c r="AO550" s="24"/>
      <c r="AX550" s="25"/>
      <c r="BR550" s="25"/>
      <c r="CF550" s="27"/>
      <c r="CG550" s="27"/>
      <c r="CH550" s="27"/>
      <c r="CI550" s="27"/>
      <c r="CJ550" s="27"/>
      <c r="CK550" s="27"/>
    </row>
    <row r="551" ht="14.25" customHeight="1">
      <c r="A551" s="118"/>
      <c r="B551" s="118"/>
      <c r="C551" s="118"/>
      <c r="D551" s="119"/>
      <c r="E551" s="119"/>
      <c r="F551" s="118"/>
      <c r="G551" s="118"/>
      <c r="H551" s="118"/>
      <c r="I551" s="118"/>
      <c r="AF551" s="22"/>
      <c r="AG551" s="22"/>
      <c r="AH551" s="22"/>
      <c r="AI551" s="22"/>
      <c r="AJ551" s="22"/>
      <c r="AK551" s="23"/>
      <c r="AN551" s="24"/>
      <c r="AO551" s="24"/>
      <c r="AX551" s="25"/>
      <c r="BR551" s="25"/>
      <c r="CF551" s="27"/>
      <c r="CG551" s="27"/>
      <c r="CH551" s="27"/>
      <c r="CI551" s="27"/>
      <c r="CJ551" s="27"/>
      <c r="CK551" s="27"/>
    </row>
    <row r="552" ht="14.25" customHeight="1">
      <c r="A552" s="118"/>
      <c r="B552" s="118"/>
      <c r="C552" s="118"/>
      <c r="D552" s="119"/>
      <c r="E552" s="119"/>
      <c r="F552" s="118"/>
      <c r="G552" s="118"/>
      <c r="H552" s="118"/>
      <c r="I552" s="118"/>
      <c r="AF552" s="22"/>
      <c r="AG552" s="22"/>
      <c r="AH552" s="22"/>
      <c r="AI552" s="22"/>
      <c r="AJ552" s="22"/>
      <c r="AK552" s="23"/>
      <c r="AN552" s="24"/>
      <c r="AO552" s="24"/>
      <c r="AX552" s="25"/>
      <c r="BR552" s="25"/>
      <c r="CF552" s="27"/>
      <c r="CG552" s="27"/>
      <c r="CH552" s="27"/>
      <c r="CI552" s="27"/>
      <c r="CJ552" s="27"/>
      <c r="CK552" s="27"/>
    </row>
    <row r="553" ht="14.25" customHeight="1">
      <c r="A553" s="118"/>
      <c r="B553" s="118"/>
      <c r="C553" s="118"/>
      <c r="D553" s="119"/>
      <c r="E553" s="119"/>
      <c r="F553" s="118"/>
      <c r="G553" s="118"/>
      <c r="H553" s="118"/>
      <c r="I553" s="118"/>
      <c r="AF553" s="22"/>
      <c r="AG553" s="22"/>
      <c r="AH553" s="22"/>
      <c r="AI553" s="22"/>
      <c r="AJ553" s="22"/>
      <c r="AK553" s="23"/>
      <c r="AN553" s="24"/>
      <c r="AO553" s="24"/>
      <c r="AX553" s="25"/>
      <c r="BR553" s="25"/>
      <c r="CF553" s="27"/>
      <c r="CG553" s="27"/>
      <c r="CH553" s="27"/>
      <c r="CI553" s="27"/>
      <c r="CJ553" s="27"/>
      <c r="CK553" s="27"/>
    </row>
    <row r="554" ht="14.25" customHeight="1">
      <c r="A554" s="118"/>
      <c r="B554" s="118"/>
      <c r="C554" s="118"/>
      <c r="D554" s="119"/>
      <c r="E554" s="119"/>
      <c r="F554" s="118"/>
      <c r="G554" s="118"/>
      <c r="H554" s="118"/>
      <c r="I554" s="118"/>
      <c r="AF554" s="22"/>
      <c r="AG554" s="22"/>
      <c r="AH554" s="22"/>
      <c r="AI554" s="22"/>
      <c r="AJ554" s="22"/>
      <c r="AK554" s="23"/>
      <c r="AN554" s="24"/>
      <c r="AO554" s="24"/>
      <c r="AX554" s="25"/>
      <c r="BR554" s="25"/>
      <c r="CF554" s="27"/>
      <c r="CG554" s="27"/>
      <c r="CH554" s="27"/>
      <c r="CI554" s="27"/>
      <c r="CJ554" s="27"/>
      <c r="CK554" s="27"/>
    </row>
    <row r="555" ht="14.25" customHeight="1">
      <c r="A555" s="118"/>
      <c r="B555" s="118"/>
      <c r="C555" s="118"/>
      <c r="D555" s="119"/>
      <c r="E555" s="119"/>
      <c r="F555" s="118"/>
      <c r="G555" s="118"/>
      <c r="H555" s="118"/>
      <c r="I555" s="118"/>
      <c r="AF555" s="22"/>
      <c r="AG555" s="22"/>
      <c r="AH555" s="22"/>
      <c r="AI555" s="22"/>
      <c r="AJ555" s="22"/>
      <c r="AK555" s="23"/>
      <c r="AN555" s="24"/>
      <c r="AO555" s="24"/>
      <c r="AX555" s="25"/>
      <c r="BR555" s="25"/>
      <c r="CF555" s="27"/>
      <c r="CG555" s="27"/>
      <c r="CH555" s="27"/>
      <c r="CI555" s="27"/>
      <c r="CJ555" s="27"/>
      <c r="CK555" s="27"/>
    </row>
    <row r="556" ht="14.25" customHeight="1">
      <c r="A556" s="118"/>
      <c r="B556" s="118"/>
      <c r="C556" s="118"/>
      <c r="D556" s="119"/>
      <c r="E556" s="119"/>
      <c r="F556" s="118"/>
      <c r="G556" s="118"/>
      <c r="H556" s="118"/>
      <c r="I556" s="118"/>
      <c r="AF556" s="22"/>
      <c r="AG556" s="22"/>
      <c r="AH556" s="22"/>
      <c r="AI556" s="22"/>
      <c r="AJ556" s="22"/>
      <c r="AK556" s="23"/>
      <c r="AN556" s="24"/>
      <c r="AO556" s="24"/>
      <c r="AX556" s="25"/>
      <c r="BR556" s="25"/>
      <c r="CF556" s="27"/>
      <c r="CG556" s="27"/>
      <c r="CH556" s="27"/>
      <c r="CI556" s="27"/>
      <c r="CJ556" s="27"/>
      <c r="CK556" s="27"/>
    </row>
    <row r="557" ht="14.25" customHeight="1">
      <c r="A557" s="118"/>
      <c r="B557" s="118"/>
      <c r="C557" s="118"/>
      <c r="D557" s="119"/>
      <c r="E557" s="119"/>
      <c r="F557" s="118"/>
      <c r="G557" s="118"/>
      <c r="H557" s="118"/>
      <c r="I557" s="118"/>
      <c r="AF557" s="22"/>
      <c r="AG557" s="22"/>
      <c r="AH557" s="22"/>
      <c r="AI557" s="22"/>
      <c r="AJ557" s="22"/>
      <c r="AK557" s="23"/>
      <c r="AN557" s="24"/>
      <c r="AO557" s="24"/>
      <c r="AX557" s="25"/>
      <c r="BR557" s="25"/>
      <c r="CF557" s="27"/>
      <c r="CG557" s="27"/>
      <c r="CH557" s="27"/>
      <c r="CI557" s="27"/>
      <c r="CJ557" s="27"/>
      <c r="CK557" s="27"/>
    </row>
    <row r="558" ht="14.25" customHeight="1">
      <c r="A558" s="118"/>
      <c r="B558" s="118"/>
      <c r="C558" s="118"/>
      <c r="D558" s="119"/>
      <c r="E558" s="119"/>
      <c r="F558" s="118"/>
      <c r="G558" s="118"/>
      <c r="H558" s="118"/>
      <c r="I558" s="118"/>
      <c r="AF558" s="22"/>
      <c r="AG558" s="22"/>
      <c r="AH558" s="22"/>
      <c r="AI558" s="22"/>
      <c r="AJ558" s="22"/>
      <c r="AK558" s="23"/>
      <c r="AN558" s="24"/>
      <c r="AO558" s="24"/>
      <c r="AX558" s="25"/>
      <c r="BR558" s="25"/>
      <c r="CF558" s="27"/>
      <c r="CG558" s="27"/>
      <c r="CH558" s="27"/>
      <c r="CI558" s="27"/>
      <c r="CJ558" s="27"/>
      <c r="CK558" s="27"/>
    </row>
    <row r="559" ht="14.25" customHeight="1">
      <c r="A559" s="118"/>
      <c r="B559" s="118"/>
      <c r="C559" s="118"/>
      <c r="D559" s="119"/>
      <c r="E559" s="119"/>
      <c r="F559" s="118"/>
      <c r="G559" s="118"/>
      <c r="H559" s="118"/>
      <c r="I559" s="118"/>
      <c r="AF559" s="22"/>
      <c r="AG559" s="22"/>
      <c r="AH559" s="22"/>
      <c r="AI559" s="22"/>
      <c r="AJ559" s="22"/>
      <c r="AK559" s="23"/>
      <c r="AN559" s="24"/>
      <c r="AO559" s="24"/>
      <c r="AX559" s="25"/>
      <c r="BR559" s="25"/>
      <c r="CF559" s="27"/>
      <c r="CG559" s="27"/>
      <c r="CH559" s="27"/>
      <c r="CI559" s="27"/>
      <c r="CJ559" s="27"/>
      <c r="CK559" s="27"/>
    </row>
    <row r="560" ht="14.25" customHeight="1">
      <c r="A560" s="118"/>
      <c r="B560" s="118"/>
      <c r="C560" s="118"/>
      <c r="D560" s="119"/>
      <c r="E560" s="119"/>
      <c r="F560" s="118"/>
      <c r="G560" s="118"/>
      <c r="H560" s="118"/>
      <c r="I560" s="118"/>
      <c r="AF560" s="22"/>
      <c r="AG560" s="22"/>
      <c r="AH560" s="22"/>
      <c r="AI560" s="22"/>
      <c r="AJ560" s="22"/>
      <c r="AK560" s="23"/>
      <c r="AN560" s="24"/>
      <c r="AO560" s="24"/>
      <c r="AX560" s="25"/>
      <c r="BR560" s="25"/>
      <c r="CF560" s="27"/>
      <c r="CG560" s="27"/>
      <c r="CH560" s="27"/>
      <c r="CI560" s="27"/>
      <c r="CJ560" s="27"/>
      <c r="CK560" s="27"/>
    </row>
    <row r="561" ht="14.25" customHeight="1">
      <c r="A561" s="118"/>
      <c r="B561" s="118"/>
      <c r="C561" s="118"/>
      <c r="D561" s="119"/>
      <c r="E561" s="119"/>
      <c r="F561" s="118"/>
      <c r="G561" s="118"/>
      <c r="H561" s="118"/>
      <c r="I561" s="118"/>
      <c r="AF561" s="22"/>
      <c r="AG561" s="22"/>
      <c r="AH561" s="22"/>
      <c r="AI561" s="22"/>
      <c r="AJ561" s="22"/>
      <c r="AK561" s="23"/>
      <c r="AN561" s="24"/>
      <c r="AO561" s="24"/>
      <c r="AX561" s="25"/>
      <c r="BR561" s="25"/>
      <c r="CF561" s="27"/>
      <c r="CG561" s="27"/>
      <c r="CH561" s="27"/>
      <c r="CI561" s="27"/>
      <c r="CJ561" s="27"/>
      <c r="CK561" s="27"/>
    </row>
    <row r="562" ht="14.25" customHeight="1">
      <c r="A562" s="118"/>
      <c r="B562" s="118"/>
      <c r="C562" s="118"/>
      <c r="D562" s="119"/>
      <c r="E562" s="119"/>
      <c r="F562" s="118"/>
      <c r="G562" s="118"/>
      <c r="H562" s="118"/>
      <c r="I562" s="118"/>
      <c r="AF562" s="22"/>
      <c r="AG562" s="22"/>
      <c r="AH562" s="22"/>
      <c r="AI562" s="22"/>
      <c r="AJ562" s="22"/>
      <c r="AK562" s="23"/>
      <c r="AN562" s="24"/>
      <c r="AO562" s="24"/>
      <c r="AX562" s="25"/>
      <c r="BR562" s="25"/>
      <c r="CF562" s="27"/>
      <c r="CG562" s="27"/>
      <c r="CH562" s="27"/>
      <c r="CI562" s="27"/>
      <c r="CJ562" s="27"/>
      <c r="CK562" s="27"/>
    </row>
    <row r="563" ht="14.25" customHeight="1">
      <c r="A563" s="118"/>
      <c r="B563" s="118"/>
      <c r="C563" s="118"/>
      <c r="D563" s="119"/>
      <c r="E563" s="119"/>
      <c r="F563" s="118"/>
      <c r="G563" s="118"/>
      <c r="H563" s="118"/>
      <c r="I563" s="118"/>
      <c r="AF563" s="22"/>
      <c r="AG563" s="22"/>
      <c r="AH563" s="22"/>
      <c r="AI563" s="22"/>
      <c r="AJ563" s="22"/>
      <c r="AK563" s="23"/>
      <c r="AN563" s="24"/>
      <c r="AO563" s="24"/>
      <c r="AX563" s="25"/>
      <c r="BR563" s="25"/>
      <c r="CF563" s="27"/>
      <c r="CG563" s="27"/>
      <c r="CH563" s="27"/>
      <c r="CI563" s="27"/>
      <c r="CJ563" s="27"/>
      <c r="CK563" s="27"/>
    </row>
    <row r="564" ht="14.25" customHeight="1">
      <c r="A564" s="118"/>
      <c r="B564" s="118"/>
      <c r="C564" s="118"/>
      <c r="D564" s="119"/>
      <c r="E564" s="119"/>
      <c r="F564" s="118"/>
      <c r="G564" s="118"/>
      <c r="H564" s="118"/>
      <c r="I564" s="118"/>
      <c r="AF564" s="22"/>
      <c r="AG564" s="22"/>
      <c r="AH564" s="22"/>
      <c r="AI564" s="22"/>
      <c r="AJ564" s="22"/>
      <c r="AK564" s="23"/>
      <c r="AN564" s="24"/>
      <c r="AO564" s="24"/>
      <c r="AX564" s="25"/>
      <c r="BR564" s="25"/>
      <c r="CF564" s="27"/>
      <c r="CG564" s="27"/>
      <c r="CH564" s="27"/>
      <c r="CI564" s="27"/>
      <c r="CJ564" s="27"/>
      <c r="CK564" s="27"/>
    </row>
    <row r="565" ht="14.25" customHeight="1">
      <c r="A565" s="118"/>
      <c r="B565" s="118"/>
      <c r="C565" s="118"/>
      <c r="D565" s="119"/>
      <c r="E565" s="119"/>
      <c r="F565" s="118"/>
      <c r="G565" s="118"/>
      <c r="H565" s="118"/>
      <c r="I565" s="118"/>
      <c r="AF565" s="22"/>
      <c r="AG565" s="22"/>
      <c r="AH565" s="22"/>
      <c r="AI565" s="22"/>
      <c r="AJ565" s="22"/>
      <c r="AK565" s="23"/>
      <c r="AN565" s="24"/>
      <c r="AO565" s="24"/>
      <c r="AX565" s="25"/>
      <c r="BR565" s="25"/>
      <c r="CF565" s="27"/>
      <c r="CG565" s="27"/>
      <c r="CH565" s="27"/>
      <c r="CI565" s="27"/>
      <c r="CJ565" s="27"/>
      <c r="CK565" s="27"/>
    </row>
    <row r="566" ht="14.25" customHeight="1">
      <c r="A566" s="118"/>
      <c r="B566" s="118"/>
      <c r="C566" s="118"/>
      <c r="D566" s="119"/>
      <c r="E566" s="119"/>
      <c r="F566" s="118"/>
      <c r="G566" s="118"/>
      <c r="H566" s="118"/>
      <c r="I566" s="118"/>
      <c r="AF566" s="22"/>
      <c r="AG566" s="22"/>
      <c r="AH566" s="22"/>
      <c r="AI566" s="22"/>
      <c r="AJ566" s="22"/>
      <c r="AK566" s="23"/>
      <c r="AN566" s="24"/>
      <c r="AO566" s="24"/>
      <c r="AX566" s="25"/>
      <c r="BR566" s="25"/>
      <c r="CF566" s="27"/>
      <c r="CG566" s="27"/>
      <c r="CH566" s="27"/>
      <c r="CI566" s="27"/>
      <c r="CJ566" s="27"/>
      <c r="CK566" s="27"/>
    </row>
    <row r="567" ht="14.25" customHeight="1">
      <c r="A567" s="118"/>
      <c r="B567" s="118"/>
      <c r="C567" s="118"/>
      <c r="D567" s="119"/>
      <c r="E567" s="119"/>
      <c r="F567" s="118"/>
      <c r="G567" s="118"/>
      <c r="H567" s="118"/>
      <c r="I567" s="118"/>
      <c r="AF567" s="22"/>
      <c r="AG567" s="22"/>
      <c r="AH567" s="22"/>
      <c r="AI567" s="22"/>
      <c r="AJ567" s="22"/>
      <c r="AK567" s="23"/>
      <c r="AN567" s="24"/>
      <c r="AO567" s="24"/>
      <c r="AX567" s="25"/>
      <c r="BR567" s="25"/>
      <c r="CF567" s="27"/>
      <c r="CG567" s="27"/>
      <c r="CH567" s="27"/>
      <c r="CI567" s="27"/>
      <c r="CJ567" s="27"/>
      <c r="CK567" s="27"/>
    </row>
    <row r="568" ht="14.25" customHeight="1">
      <c r="A568" s="118"/>
      <c r="B568" s="118"/>
      <c r="C568" s="118"/>
      <c r="D568" s="119"/>
      <c r="E568" s="119"/>
      <c r="F568" s="118"/>
      <c r="G568" s="118"/>
      <c r="H568" s="118"/>
      <c r="I568" s="118"/>
      <c r="AF568" s="22"/>
      <c r="AG568" s="22"/>
      <c r="AH568" s="22"/>
      <c r="AI568" s="22"/>
      <c r="AJ568" s="22"/>
      <c r="AK568" s="23"/>
      <c r="AN568" s="24"/>
      <c r="AO568" s="24"/>
      <c r="AX568" s="25"/>
      <c r="BR568" s="25"/>
      <c r="CF568" s="27"/>
      <c r="CG568" s="27"/>
      <c r="CH568" s="27"/>
      <c r="CI568" s="27"/>
      <c r="CJ568" s="27"/>
      <c r="CK568" s="27"/>
    </row>
    <row r="569" ht="14.25" customHeight="1">
      <c r="A569" s="118"/>
      <c r="B569" s="118"/>
      <c r="C569" s="118"/>
      <c r="D569" s="119"/>
      <c r="E569" s="119"/>
      <c r="F569" s="118"/>
      <c r="G569" s="118"/>
      <c r="H569" s="118"/>
      <c r="I569" s="118"/>
      <c r="AF569" s="22"/>
      <c r="AG569" s="22"/>
      <c r="AH569" s="22"/>
      <c r="AI569" s="22"/>
      <c r="AJ569" s="22"/>
      <c r="AK569" s="23"/>
      <c r="AN569" s="24"/>
      <c r="AO569" s="24"/>
      <c r="AX569" s="25"/>
      <c r="BR569" s="25"/>
      <c r="CF569" s="27"/>
      <c r="CG569" s="27"/>
      <c r="CH569" s="27"/>
      <c r="CI569" s="27"/>
      <c r="CJ569" s="27"/>
      <c r="CK569" s="27"/>
    </row>
    <row r="570" ht="14.25" customHeight="1">
      <c r="A570" s="118"/>
      <c r="B570" s="118"/>
      <c r="C570" s="118"/>
      <c r="D570" s="119"/>
      <c r="E570" s="119"/>
      <c r="F570" s="118"/>
      <c r="G570" s="118"/>
      <c r="H570" s="118"/>
      <c r="I570" s="118"/>
      <c r="AF570" s="22"/>
      <c r="AG570" s="22"/>
      <c r="AH570" s="22"/>
      <c r="AI570" s="22"/>
      <c r="AJ570" s="22"/>
      <c r="AK570" s="23"/>
      <c r="AN570" s="24"/>
      <c r="AO570" s="24"/>
      <c r="AX570" s="25"/>
      <c r="BR570" s="25"/>
      <c r="CF570" s="27"/>
      <c r="CG570" s="27"/>
      <c r="CH570" s="27"/>
      <c r="CI570" s="27"/>
      <c r="CJ570" s="27"/>
      <c r="CK570" s="27"/>
    </row>
    <row r="571" ht="14.25" customHeight="1">
      <c r="A571" s="118"/>
      <c r="B571" s="118"/>
      <c r="C571" s="118"/>
      <c r="D571" s="119"/>
      <c r="E571" s="119"/>
      <c r="F571" s="118"/>
      <c r="G571" s="118"/>
      <c r="H571" s="118"/>
      <c r="I571" s="118"/>
      <c r="AF571" s="22"/>
      <c r="AG571" s="22"/>
      <c r="AH571" s="22"/>
      <c r="AI571" s="22"/>
      <c r="AJ571" s="22"/>
      <c r="AK571" s="23"/>
      <c r="AN571" s="24"/>
      <c r="AO571" s="24"/>
      <c r="AX571" s="25"/>
      <c r="BR571" s="25"/>
      <c r="CF571" s="27"/>
      <c r="CG571" s="27"/>
      <c r="CH571" s="27"/>
      <c r="CI571" s="27"/>
      <c r="CJ571" s="27"/>
      <c r="CK571" s="27"/>
    </row>
    <row r="572" ht="14.25" customHeight="1">
      <c r="A572" s="118"/>
      <c r="B572" s="118"/>
      <c r="C572" s="118"/>
      <c r="D572" s="119"/>
      <c r="E572" s="119"/>
      <c r="F572" s="118"/>
      <c r="G572" s="118"/>
      <c r="H572" s="118"/>
      <c r="I572" s="118"/>
      <c r="AF572" s="22"/>
      <c r="AG572" s="22"/>
      <c r="AH572" s="22"/>
      <c r="AI572" s="22"/>
      <c r="AJ572" s="22"/>
      <c r="AK572" s="23"/>
      <c r="AN572" s="24"/>
      <c r="AO572" s="24"/>
      <c r="AX572" s="25"/>
      <c r="BR572" s="25"/>
      <c r="CF572" s="27"/>
      <c r="CG572" s="27"/>
      <c r="CH572" s="27"/>
      <c r="CI572" s="27"/>
      <c r="CJ572" s="27"/>
      <c r="CK572" s="27"/>
    </row>
    <row r="573" ht="14.25" customHeight="1">
      <c r="A573" s="118"/>
      <c r="B573" s="118"/>
      <c r="C573" s="118"/>
      <c r="D573" s="119"/>
      <c r="E573" s="119"/>
      <c r="F573" s="118"/>
      <c r="G573" s="118"/>
      <c r="H573" s="118"/>
      <c r="I573" s="118"/>
      <c r="AF573" s="22"/>
      <c r="AG573" s="22"/>
      <c r="AH573" s="22"/>
      <c r="AI573" s="22"/>
      <c r="AJ573" s="22"/>
      <c r="AK573" s="23"/>
      <c r="AN573" s="24"/>
      <c r="AO573" s="24"/>
      <c r="AX573" s="25"/>
      <c r="BR573" s="25"/>
      <c r="CF573" s="27"/>
      <c r="CG573" s="27"/>
      <c r="CH573" s="27"/>
      <c r="CI573" s="27"/>
      <c r="CJ573" s="27"/>
      <c r="CK573" s="27"/>
    </row>
    <row r="574" ht="14.25" customHeight="1">
      <c r="A574" s="118"/>
      <c r="B574" s="118"/>
      <c r="C574" s="118"/>
      <c r="D574" s="119"/>
      <c r="E574" s="119"/>
      <c r="F574" s="118"/>
      <c r="G574" s="118"/>
      <c r="H574" s="118"/>
      <c r="I574" s="118"/>
      <c r="AF574" s="22"/>
      <c r="AG574" s="22"/>
      <c r="AH574" s="22"/>
      <c r="AI574" s="22"/>
      <c r="AJ574" s="22"/>
      <c r="AK574" s="23"/>
      <c r="AN574" s="24"/>
      <c r="AO574" s="24"/>
      <c r="AX574" s="25"/>
      <c r="BR574" s="25"/>
      <c r="CF574" s="27"/>
      <c r="CG574" s="27"/>
      <c r="CH574" s="27"/>
      <c r="CI574" s="27"/>
      <c r="CJ574" s="27"/>
      <c r="CK574" s="27"/>
    </row>
    <row r="575" ht="14.25" customHeight="1">
      <c r="A575" s="118"/>
      <c r="B575" s="118"/>
      <c r="C575" s="118"/>
      <c r="D575" s="119"/>
      <c r="E575" s="119"/>
      <c r="F575" s="118"/>
      <c r="G575" s="118"/>
      <c r="H575" s="118"/>
      <c r="I575" s="118"/>
      <c r="AF575" s="22"/>
      <c r="AG575" s="22"/>
      <c r="AH575" s="22"/>
      <c r="AI575" s="22"/>
      <c r="AJ575" s="22"/>
      <c r="AK575" s="23"/>
      <c r="AN575" s="24"/>
      <c r="AO575" s="24"/>
      <c r="AX575" s="25"/>
      <c r="BR575" s="25"/>
      <c r="CF575" s="27"/>
      <c r="CG575" s="27"/>
      <c r="CH575" s="27"/>
      <c r="CI575" s="27"/>
      <c r="CJ575" s="27"/>
      <c r="CK575" s="27"/>
    </row>
    <row r="576" ht="14.25" customHeight="1">
      <c r="A576" s="118"/>
      <c r="B576" s="118"/>
      <c r="C576" s="118"/>
      <c r="D576" s="119"/>
      <c r="E576" s="119"/>
      <c r="F576" s="118"/>
      <c r="G576" s="118"/>
      <c r="H576" s="118"/>
      <c r="I576" s="118"/>
      <c r="AF576" s="22"/>
      <c r="AG576" s="22"/>
      <c r="AH576" s="22"/>
      <c r="AI576" s="22"/>
      <c r="AJ576" s="22"/>
      <c r="AK576" s="23"/>
      <c r="AN576" s="24"/>
      <c r="AO576" s="24"/>
      <c r="AX576" s="25"/>
      <c r="BR576" s="25"/>
      <c r="CF576" s="27"/>
      <c r="CG576" s="27"/>
      <c r="CH576" s="27"/>
      <c r="CI576" s="27"/>
      <c r="CJ576" s="27"/>
      <c r="CK576" s="27"/>
    </row>
    <row r="577" ht="14.25" customHeight="1">
      <c r="A577" s="118"/>
      <c r="B577" s="118"/>
      <c r="C577" s="118"/>
      <c r="D577" s="119"/>
      <c r="E577" s="119"/>
      <c r="F577" s="118"/>
      <c r="G577" s="118"/>
      <c r="H577" s="118"/>
      <c r="I577" s="118"/>
      <c r="AF577" s="22"/>
      <c r="AG577" s="22"/>
      <c r="AH577" s="22"/>
      <c r="AI577" s="22"/>
      <c r="AJ577" s="22"/>
      <c r="AK577" s="23"/>
      <c r="AN577" s="24"/>
      <c r="AO577" s="24"/>
      <c r="AX577" s="25"/>
      <c r="BR577" s="25"/>
      <c r="CF577" s="27"/>
      <c r="CG577" s="27"/>
      <c r="CH577" s="27"/>
      <c r="CI577" s="27"/>
      <c r="CJ577" s="27"/>
      <c r="CK577" s="27"/>
    </row>
    <row r="578" ht="14.25" customHeight="1">
      <c r="A578" s="118"/>
      <c r="B578" s="118"/>
      <c r="C578" s="118"/>
      <c r="D578" s="119"/>
      <c r="E578" s="119"/>
      <c r="F578" s="118"/>
      <c r="G578" s="118"/>
      <c r="H578" s="118"/>
      <c r="I578" s="118"/>
      <c r="AF578" s="22"/>
      <c r="AG578" s="22"/>
      <c r="AH578" s="22"/>
      <c r="AI578" s="22"/>
      <c r="AJ578" s="22"/>
      <c r="AK578" s="23"/>
      <c r="AN578" s="24"/>
      <c r="AO578" s="24"/>
      <c r="AX578" s="25"/>
      <c r="BR578" s="25"/>
      <c r="CF578" s="27"/>
      <c r="CG578" s="27"/>
      <c r="CH578" s="27"/>
      <c r="CI578" s="27"/>
      <c r="CJ578" s="27"/>
      <c r="CK578" s="27"/>
    </row>
    <row r="579" ht="14.25" customHeight="1">
      <c r="A579" s="118"/>
      <c r="B579" s="118"/>
      <c r="C579" s="118"/>
      <c r="D579" s="119"/>
      <c r="E579" s="119"/>
      <c r="F579" s="118"/>
      <c r="G579" s="118"/>
      <c r="H579" s="118"/>
      <c r="I579" s="118"/>
      <c r="AF579" s="22"/>
      <c r="AG579" s="22"/>
      <c r="AH579" s="22"/>
      <c r="AI579" s="22"/>
      <c r="AJ579" s="22"/>
      <c r="AK579" s="23"/>
      <c r="AN579" s="24"/>
      <c r="AO579" s="24"/>
      <c r="AX579" s="25"/>
      <c r="BR579" s="25"/>
      <c r="CF579" s="27"/>
      <c r="CG579" s="27"/>
      <c r="CH579" s="27"/>
      <c r="CI579" s="27"/>
      <c r="CJ579" s="27"/>
      <c r="CK579" s="27"/>
    </row>
    <row r="580" ht="14.25" customHeight="1">
      <c r="A580" s="118"/>
      <c r="B580" s="118"/>
      <c r="C580" s="118"/>
      <c r="D580" s="119"/>
      <c r="E580" s="119"/>
      <c r="F580" s="118"/>
      <c r="G580" s="118"/>
      <c r="H580" s="118"/>
      <c r="I580" s="118"/>
      <c r="AF580" s="22"/>
      <c r="AG580" s="22"/>
      <c r="AH580" s="22"/>
      <c r="AI580" s="22"/>
      <c r="AJ580" s="22"/>
      <c r="AK580" s="23"/>
      <c r="AN580" s="24"/>
      <c r="AO580" s="24"/>
      <c r="AX580" s="25"/>
      <c r="BR580" s="25"/>
      <c r="CF580" s="27"/>
      <c r="CG580" s="27"/>
      <c r="CH580" s="27"/>
      <c r="CI580" s="27"/>
      <c r="CJ580" s="27"/>
      <c r="CK580" s="27"/>
    </row>
    <row r="581" ht="14.25" customHeight="1">
      <c r="A581" s="118"/>
      <c r="B581" s="118"/>
      <c r="C581" s="118"/>
      <c r="D581" s="119"/>
      <c r="E581" s="119"/>
      <c r="F581" s="118"/>
      <c r="G581" s="118"/>
      <c r="H581" s="118"/>
      <c r="I581" s="118"/>
      <c r="AF581" s="22"/>
      <c r="AG581" s="22"/>
      <c r="AH581" s="22"/>
      <c r="AI581" s="22"/>
      <c r="AJ581" s="22"/>
      <c r="AK581" s="23"/>
      <c r="AN581" s="24"/>
      <c r="AO581" s="24"/>
      <c r="AX581" s="25"/>
      <c r="BR581" s="25"/>
      <c r="CF581" s="27"/>
      <c r="CG581" s="27"/>
      <c r="CH581" s="27"/>
      <c r="CI581" s="27"/>
      <c r="CJ581" s="27"/>
      <c r="CK581" s="27"/>
    </row>
    <row r="582" ht="14.25" customHeight="1">
      <c r="A582" s="118"/>
      <c r="B582" s="118"/>
      <c r="C582" s="118"/>
      <c r="D582" s="119"/>
      <c r="E582" s="119"/>
      <c r="F582" s="118"/>
      <c r="G582" s="118"/>
      <c r="H582" s="118"/>
      <c r="I582" s="118"/>
      <c r="AF582" s="22"/>
      <c r="AG582" s="22"/>
      <c r="AH582" s="22"/>
      <c r="AI582" s="22"/>
      <c r="AJ582" s="22"/>
      <c r="AK582" s="23"/>
      <c r="AN582" s="24"/>
      <c r="AO582" s="24"/>
      <c r="AX582" s="25"/>
      <c r="BR582" s="25"/>
      <c r="CF582" s="27"/>
      <c r="CG582" s="27"/>
      <c r="CH582" s="27"/>
      <c r="CI582" s="27"/>
      <c r="CJ582" s="27"/>
      <c r="CK582" s="27"/>
    </row>
    <row r="583" ht="14.25" customHeight="1">
      <c r="A583" s="118"/>
      <c r="B583" s="118"/>
      <c r="C583" s="118"/>
      <c r="D583" s="119"/>
      <c r="E583" s="119"/>
      <c r="F583" s="118"/>
      <c r="G583" s="118"/>
      <c r="H583" s="118"/>
      <c r="I583" s="118"/>
      <c r="AF583" s="22"/>
      <c r="AG583" s="22"/>
      <c r="AH583" s="22"/>
      <c r="AI583" s="22"/>
      <c r="AJ583" s="22"/>
      <c r="AK583" s="23"/>
      <c r="AN583" s="24"/>
      <c r="AO583" s="24"/>
      <c r="AX583" s="25"/>
      <c r="BR583" s="25"/>
      <c r="CF583" s="27"/>
      <c r="CG583" s="27"/>
      <c r="CH583" s="27"/>
      <c r="CI583" s="27"/>
      <c r="CJ583" s="27"/>
      <c r="CK583" s="27"/>
    </row>
    <row r="584" ht="14.25" customHeight="1">
      <c r="A584" s="118"/>
      <c r="B584" s="118"/>
      <c r="C584" s="118"/>
      <c r="D584" s="119"/>
      <c r="E584" s="119"/>
      <c r="F584" s="118"/>
      <c r="G584" s="118"/>
      <c r="H584" s="118"/>
      <c r="I584" s="118"/>
      <c r="AF584" s="22"/>
      <c r="AG584" s="22"/>
      <c r="AH584" s="22"/>
      <c r="AI584" s="22"/>
      <c r="AJ584" s="22"/>
      <c r="AK584" s="23"/>
      <c r="AN584" s="24"/>
      <c r="AO584" s="24"/>
      <c r="AX584" s="25"/>
      <c r="BR584" s="25"/>
      <c r="CF584" s="27"/>
      <c r="CG584" s="27"/>
      <c r="CH584" s="27"/>
      <c r="CI584" s="27"/>
      <c r="CJ584" s="27"/>
      <c r="CK584" s="27"/>
    </row>
    <row r="585" ht="14.25" customHeight="1">
      <c r="A585" s="118"/>
      <c r="B585" s="118"/>
      <c r="C585" s="118"/>
      <c r="D585" s="119"/>
      <c r="E585" s="119"/>
      <c r="F585" s="118"/>
      <c r="G585" s="118"/>
      <c r="H585" s="118"/>
      <c r="I585" s="118"/>
      <c r="AF585" s="22"/>
      <c r="AG585" s="22"/>
      <c r="AH585" s="22"/>
      <c r="AI585" s="22"/>
      <c r="AJ585" s="22"/>
      <c r="AK585" s="23"/>
      <c r="AN585" s="24"/>
      <c r="AO585" s="24"/>
      <c r="AX585" s="25"/>
      <c r="BR585" s="25"/>
      <c r="CF585" s="27"/>
      <c r="CG585" s="27"/>
      <c r="CH585" s="27"/>
      <c r="CI585" s="27"/>
      <c r="CJ585" s="27"/>
      <c r="CK585" s="27"/>
    </row>
    <row r="586" ht="14.25" customHeight="1">
      <c r="A586" s="118"/>
      <c r="B586" s="118"/>
      <c r="C586" s="118"/>
      <c r="D586" s="119"/>
      <c r="E586" s="119"/>
      <c r="F586" s="118"/>
      <c r="G586" s="118"/>
      <c r="H586" s="118"/>
      <c r="I586" s="118"/>
      <c r="AF586" s="22"/>
      <c r="AG586" s="22"/>
      <c r="AH586" s="22"/>
      <c r="AI586" s="22"/>
      <c r="AJ586" s="22"/>
      <c r="AK586" s="23"/>
      <c r="AN586" s="24"/>
      <c r="AO586" s="24"/>
      <c r="AX586" s="25"/>
      <c r="BR586" s="25"/>
      <c r="CF586" s="27"/>
      <c r="CG586" s="27"/>
      <c r="CH586" s="27"/>
      <c r="CI586" s="27"/>
      <c r="CJ586" s="27"/>
      <c r="CK586" s="27"/>
    </row>
    <row r="587" ht="14.25" customHeight="1">
      <c r="A587" s="118"/>
      <c r="B587" s="118"/>
      <c r="C587" s="118"/>
      <c r="D587" s="119"/>
      <c r="E587" s="119"/>
      <c r="F587" s="118"/>
      <c r="G587" s="118"/>
      <c r="H587" s="118"/>
      <c r="I587" s="118"/>
      <c r="AF587" s="22"/>
      <c r="AG587" s="22"/>
      <c r="AH587" s="22"/>
      <c r="AI587" s="22"/>
      <c r="AJ587" s="22"/>
      <c r="AK587" s="23"/>
      <c r="AN587" s="24"/>
      <c r="AO587" s="24"/>
      <c r="AX587" s="25"/>
      <c r="BR587" s="25"/>
      <c r="CF587" s="27"/>
      <c r="CG587" s="27"/>
      <c r="CH587" s="27"/>
      <c r="CI587" s="27"/>
      <c r="CJ587" s="27"/>
      <c r="CK587" s="27"/>
    </row>
    <row r="588" ht="14.25" customHeight="1">
      <c r="A588" s="118"/>
      <c r="B588" s="118"/>
      <c r="C588" s="118"/>
      <c r="D588" s="119"/>
      <c r="E588" s="119"/>
      <c r="F588" s="118"/>
      <c r="G588" s="118"/>
      <c r="H588" s="118"/>
      <c r="I588" s="118"/>
      <c r="AF588" s="22"/>
      <c r="AG588" s="22"/>
      <c r="AH588" s="22"/>
      <c r="AI588" s="22"/>
      <c r="AJ588" s="22"/>
      <c r="AK588" s="23"/>
      <c r="AN588" s="24"/>
      <c r="AO588" s="24"/>
      <c r="AX588" s="25"/>
      <c r="BR588" s="25"/>
      <c r="CF588" s="27"/>
      <c r="CG588" s="27"/>
      <c r="CH588" s="27"/>
      <c r="CI588" s="27"/>
      <c r="CJ588" s="27"/>
      <c r="CK588" s="27"/>
    </row>
    <row r="589" ht="14.25" customHeight="1">
      <c r="A589" s="118"/>
      <c r="B589" s="118"/>
      <c r="C589" s="118"/>
      <c r="D589" s="119"/>
      <c r="E589" s="119"/>
      <c r="F589" s="118"/>
      <c r="G589" s="118"/>
      <c r="H589" s="118"/>
      <c r="I589" s="118"/>
      <c r="AF589" s="22"/>
      <c r="AG589" s="22"/>
      <c r="AH589" s="22"/>
      <c r="AI589" s="22"/>
      <c r="AJ589" s="22"/>
      <c r="AK589" s="23"/>
      <c r="AN589" s="24"/>
      <c r="AO589" s="24"/>
      <c r="AX589" s="25"/>
      <c r="BR589" s="25"/>
      <c r="CF589" s="27"/>
      <c r="CG589" s="27"/>
      <c r="CH589" s="27"/>
      <c r="CI589" s="27"/>
      <c r="CJ589" s="27"/>
      <c r="CK589" s="27"/>
    </row>
    <row r="590" ht="14.25" customHeight="1">
      <c r="A590" s="118"/>
      <c r="B590" s="118"/>
      <c r="C590" s="118"/>
      <c r="D590" s="119"/>
      <c r="E590" s="119"/>
      <c r="F590" s="118"/>
      <c r="G590" s="118"/>
      <c r="H590" s="118"/>
      <c r="I590" s="118"/>
      <c r="AF590" s="22"/>
      <c r="AG590" s="22"/>
      <c r="AH590" s="22"/>
      <c r="AI590" s="22"/>
      <c r="AJ590" s="22"/>
      <c r="AK590" s="23"/>
      <c r="AN590" s="24"/>
      <c r="AO590" s="24"/>
      <c r="AX590" s="25"/>
      <c r="BR590" s="25"/>
      <c r="CF590" s="27"/>
      <c r="CG590" s="27"/>
      <c r="CH590" s="27"/>
      <c r="CI590" s="27"/>
      <c r="CJ590" s="27"/>
      <c r="CK590" s="27"/>
    </row>
    <row r="591" ht="14.25" customHeight="1">
      <c r="A591" s="118"/>
      <c r="B591" s="118"/>
      <c r="C591" s="118"/>
      <c r="D591" s="119"/>
      <c r="E591" s="119"/>
      <c r="F591" s="118"/>
      <c r="G591" s="118"/>
      <c r="H591" s="118"/>
      <c r="I591" s="118"/>
      <c r="AF591" s="22"/>
      <c r="AG591" s="22"/>
      <c r="AH591" s="22"/>
      <c r="AI591" s="22"/>
      <c r="AJ591" s="22"/>
      <c r="AK591" s="23"/>
      <c r="AN591" s="24"/>
      <c r="AO591" s="24"/>
      <c r="AX591" s="25"/>
      <c r="BR591" s="25"/>
      <c r="CF591" s="27"/>
      <c r="CG591" s="27"/>
      <c r="CH591" s="27"/>
      <c r="CI591" s="27"/>
      <c r="CJ591" s="27"/>
      <c r="CK591" s="27"/>
    </row>
    <row r="592" ht="14.25" customHeight="1">
      <c r="A592" s="118"/>
      <c r="B592" s="118"/>
      <c r="C592" s="118"/>
      <c r="D592" s="119"/>
      <c r="E592" s="119"/>
      <c r="F592" s="118"/>
      <c r="G592" s="118"/>
      <c r="H592" s="118"/>
      <c r="I592" s="118"/>
      <c r="AF592" s="22"/>
      <c r="AG592" s="22"/>
      <c r="AH592" s="22"/>
      <c r="AI592" s="22"/>
      <c r="AJ592" s="22"/>
      <c r="AK592" s="23"/>
      <c r="AN592" s="24"/>
      <c r="AO592" s="24"/>
      <c r="AX592" s="25"/>
      <c r="BR592" s="25"/>
      <c r="CF592" s="27"/>
      <c r="CG592" s="27"/>
      <c r="CH592" s="27"/>
      <c r="CI592" s="27"/>
      <c r="CJ592" s="27"/>
      <c r="CK592" s="27"/>
    </row>
    <row r="593" ht="14.25" customHeight="1">
      <c r="A593" s="118"/>
      <c r="B593" s="118"/>
      <c r="C593" s="118"/>
      <c r="D593" s="119"/>
      <c r="E593" s="119"/>
      <c r="F593" s="118"/>
      <c r="G593" s="118"/>
      <c r="H593" s="118"/>
      <c r="I593" s="118"/>
      <c r="AF593" s="22"/>
      <c r="AG593" s="22"/>
      <c r="AH593" s="22"/>
      <c r="AI593" s="22"/>
      <c r="AJ593" s="22"/>
      <c r="AK593" s="23"/>
      <c r="AN593" s="24"/>
      <c r="AO593" s="24"/>
      <c r="AX593" s="25"/>
      <c r="BR593" s="25"/>
      <c r="CF593" s="27"/>
      <c r="CG593" s="27"/>
      <c r="CH593" s="27"/>
      <c r="CI593" s="27"/>
      <c r="CJ593" s="27"/>
      <c r="CK593" s="27"/>
    </row>
    <row r="594" ht="14.25" customHeight="1">
      <c r="A594" s="118"/>
      <c r="B594" s="118"/>
      <c r="C594" s="118"/>
      <c r="D594" s="119"/>
      <c r="E594" s="119"/>
      <c r="F594" s="118"/>
      <c r="G594" s="118"/>
      <c r="H594" s="118"/>
      <c r="I594" s="118"/>
      <c r="AF594" s="22"/>
      <c r="AG594" s="22"/>
      <c r="AH594" s="22"/>
      <c r="AI594" s="22"/>
      <c r="AJ594" s="22"/>
      <c r="AK594" s="23"/>
      <c r="AN594" s="24"/>
      <c r="AO594" s="24"/>
      <c r="AX594" s="25"/>
      <c r="BR594" s="25"/>
      <c r="CF594" s="27"/>
      <c r="CG594" s="27"/>
      <c r="CH594" s="27"/>
      <c r="CI594" s="27"/>
      <c r="CJ594" s="27"/>
      <c r="CK594" s="27"/>
    </row>
    <row r="595" ht="14.25" customHeight="1">
      <c r="A595" s="118"/>
      <c r="B595" s="118"/>
      <c r="C595" s="118"/>
      <c r="D595" s="119"/>
      <c r="E595" s="119"/>
      <c r="F595" s="118"/>
      <c r="G595" s="118"/>
      <c r="H595" s="118"/>
      <c r="I595" s="118"/>
      <c r="AF595" s="22"/>
      <c r="AG595" s="22"/>
      <c r="AH595" s="22"/>
      <c r="AI595" s="22"/>
      <c r="AJ595" s="22"/>
      <c r="AK595" s="23"/>
      <c r="AN595" s="24"/>
      <c r="AO595" s="24"/>
      <c r="AX595" s="25"/>
      <c r="BR595" s="25"/>
      <c r="CF595" s="27"/>
      <c r="CG595" s="27"/>
      <c r="CH595" s="27"/>
      <c r="CI595" s="27"/>
      <c r="CJ595" s="27"/>
      <c r="CK595" s="27"/>
    </row>
    <row r="596" ht="14.25" customHeight="1">
      <c r="A596" s="118"/>
      <c r="B596" s="118"/>
      <c r="C596" s="118"/>
      <c r="D596" s="119"/>
      <c r="E596" s="119"/>
      <c r="F596" s="118"/>
      <c r="G596" s="118"/>
      <c r="H596" s="118"/>
      <c r="I596" s="118"/>
      <c r="AF596" s="22"/>
      <c r="AG596" s="22"/>
      <c r="AH596" s="22"/>
      <c r="AI596" s="22"/>
      <c r="AJ596" s="22"/>
      <c r="AK596" s="23"/>
      <c r="AN596" s="24"/>
      <c r="AO596" s="24"/>
      <c r="AX596" s="25"/>
      <c r="BR596" s="25"/>
      <c r="CF596" s="27"/>
      <c r="CG596" s="27"/>
      <c r="CH596" s="27"/>
      <c r="CI596" s="27"/>
      <c r="CJ596" s="27"/>
      <c r="CK596" s="27"/>
    </row>
    <row r="597" ht="14.25" customHeight="1">
      <c r="A597" s="118"/>
      <c r="B597" s="118"/>
      <c r="C597" s="118"/>
      <c r="D597" s="119"/>
      <c r="E597" s="119"/>
      <c r="F597" s="118"/>
      <c r="G597" s="118"/>
      <c r="H597" s="118"/>
      <c r="I597" s="118"/>
      <c r="AF597" s="22"/>
      <c r="AG597" s="22"/>
      <c r="AH597" s="22"/>
      <c r="AI597" s="22"/>
      <c r="AJ597" s="22"/>
      <c r="AK597" s="23"/>
      <c r="AN597" s="24"/>
      <c r="AO597" s="24"/>
      <c r="AX597" s="25"/>
      <c r="BR597" s="25"/>
      <c r="CF597" s="27"/>
      <c r="CG597" s="27"/>
      <c r="CH597" s="27"/>
      <c r="CI597" s="27"/>
      <c r="CJ597" s="27"/>
      <c r="CK597" s="27"/>
    </row>
    <row r="598" ht="14.25" customHeight="1">
      <c r="A598" s="118"/>
      <c r="B598" s="118"/>
      <c r="C598" s="118"/>
      <c r="D598" s="119"/>
      <c r="E598" s="119"/>
      <c r="F598" s="118"/>
      <c r="G598" s="118"/>
      <c r="H598" s="118"/>
      <c r="I598" s="118"/>
      <c r="AF598" s="22"/>
      <c r="AG598" s="22"/>
      <c r="AH598" s="22"/>
      <c r="AI598" s="22"/>
      <c r="AJ598" s="22"/>
      <c r="AK598" s="23"/>
      <c r="AN598" s="24"/>
      <c r="AO598" s="24"/>
      <c r="AX598" s="25"/>
      <c r="BR598" s="25"/>
      <c r="CF598" s="27"/>
      <c r="CG598" s="27"/>
      <c r="CH598" s="27"/>
      <c r="CI598" s="27"/>
      <c r="CJ598" s="27"/>
      <c r="CK598" s="27"/>
    </row>
    <row r="599" ht="14.25" customHeight="1">
      <c r="A599" s="118"/>
      <c r="B599" s="118"/>
      <c r="C599" s="118"/>
      <c r="D599" s="119"/>
      <c r="E599" s="119"/>
      <c r="F599" s="118"/>
      <c r="G599" s="118"/>
      <c r="H599" s="118"/>
      <c r="I599" s="118"/>
      <c r="AF599" s="22"/>
      <c r="AG599" s="22"/>
      <c r="AH599" s="22"/>
      <c r="AI599" s="22"/>
      <c r="AJ599" s="22"/>
      <c r="AK599" s="23"/>
      <c r="AN599" s="24"/>
      <c r="AO599" s="24"/>
      <c r="AX599" s="25"/>
      <c r="BR599" s="25"/>
      <c r="CF599" s="27"/>
      <c r="CG599" s="27"/>
      <c r="CH599" s="27"/>
      <c r="CI599" s="27"/>
      <c r="CJ599" s="27"/>
      <c r="CK599" s="27"/>
    </row>
    <row r="600" ht="14.25" customHeight="1">
      <c r="A600" s="118"/>
      <c r="B600" s="118"/>
      <c r="C600" s="118"/>
      <c r="D600" s="119"/>
      <c r="E600" s="119"/>
      <c r="F600" s="118"/>
      <c r="G600" s="118"/>
      <c r="H600" s="118"/>
      <c r="I600" s="118"/>
      <c r="AF600" s="22"/>
      <c r="AG600" s="22"/>
      <c r="AH600" s="22"/>
      <c r="AI600" s="22"/>
      <c r="AJ600" s="22"/>
      <c r="AK600" s="23"/>
      <c r="AN600" s="24"/>
      <c r="AO600" s="24"/>
      <c r="AX600" s="25"/>
      <c r="BR600" s="25"/>
      <c r="CF600" s="27"/>
      <c r="CG600" s="27"/>
      <c r="CH600" s="27"/>
      <c r="CI600" s="27"/>
      <c r="CJ600" s="27"/>
      <c r="CK600" s="27"/>
    </row>
    <row r="601" ht="14.25" customHeight="1">
      <c r="A601" s="118"/>
      <c r="B601" s="118"/>
      <c r="C601" s="118"/>
      <c r="D601" s="119"/>
      <c r="E601" s="119"/>
      <c r="F601" s="118"/>
      <c r="G601" s="118"/>
      <c r="H601" s="118"/>
      <c r="I601" s="118"/>
      <c r="AF601" s="22"/>
      <c r="AG601" s="22"/>
      <c r="AH601" s="22"/>
      <c r="AI601" s="22"/>
      <c r="AJ601" s="22"/>
      <c r="AK601" s="23"/>
      <c r="AN601" s="24"/>
      <c r="AO601" s="24"/>
      <c r="AX601" s="25"/>
      <c r="BR601" s="25"/>
      <c r="CF601" s="27"/>
      <c r="CG601" s="27"/>
      <c r="CH601" s="27"/>
      <c r="CI601" s="27"/>
      <c r="CJ601" s="27"/>
      <c r="CK601" s="27"/>
    </row>
    <row r="602" ht="14.25" customHeight="1">
      <c r="A602" s="118"/>
      <c r="B602" s="118"/>
      <c r="C602" s="118"/>
      <c r="D602" s="119"/>
      <c r="E602" s="119"/>
      <c r="F602" s="118"/>
      <c r="G602" s="118"/>
      <c r="H602" s="118"/>
      <c r="I602" s="118"/>
      <c r="AF602" s="22"/>
      <c r="AG602" s="22"/>
      <c r="AH602" s="22"/>
      <c r="AI602" s="22"/>
      <c r="AJ602" s="22"/>
      <c r="AK602" s="23"/>
      <c r="AN602" s="24"/>
      <c r="AO602" s="24"/>
      <c r="AX602" s="25"/>
      <c r="BR602" s="25"/>
      <c r="CF602" s="27"/>
      <c r="CG602" s="27"/>
      <c r="CH602" s="27"/>
      <c r="CI602" s="27"/>
      <c r="CJ602" s="27"/>
      <c r="CK602" s="27"/>
    </row>
    <row r="603" ht="14.25" customHeight="1">
      <c r="A603" s="118"/>
      <c r="B603" s="118"/>
      <c r="C603" s="118"/>
      <c r="D603" s="119"/>
      <c r="E603" s="119"/>
      <c r="F603" s="118"/>
      <c r="G603" s="118"/>
      <c r="H603" s="118"/>
      <c r="I603" s="118"/>
      <c r="AF603" s="22"/>
      <c r="AG603" s="22"/>
      <c r="AH603" s="22"/>
      <c r="AI603" s="22"/>
      <c r="AJ603" s="22"/>
      <c r="AK603" s="23"/>
      <c r="AN603" s="24"/>
      <c r="AO603" s="24"/>
      <c r="AX603" s="25"/>
      <c r="BR603" s="25"/>
      <c r="CF603" s="27"/>
      <c r="CG603" s="27"/>
      <c r="CH603" s="27"/>
      <c r="CI603" s="27"/>
      <c r="CJ603" s="27"/>
      <c r="CK603" s="27"/>
    </row>
    <row r="604" ht="14.25" customHeight="1">
      <c r="A604" s="118"/>
      <c r="B604" s="118"/>
      <c r="C604" s="118"/>
      <c r="D604" s="119"/>
      <c r="E604" s="119"/>
      <c r="F604" s="118"/>
      <c r="G604" s="118"/>
      <c r="H604" s="118"/>
      <c r="I604" s="118"/>
      <c r="AF604" s="22"/>
      <c r="AG604" s="22"/>
      <c r="AH604" s="22"/>
      <c r="AI604" s="22"/>
      <c r="AJ604" s="22"/>
      <c r="AK604" s="23"/>
      <c r="AN604" s="24"/>
      <c r="AO604" s="24"/>
      <c r="AX604" s="25"/>
      <c r="BR604" s="25"/>
      <c r="CF604" s="27"/>
      <c r="CG604" s="27"/>
      <c r="CH604" s="27"/>
      <c r="CI604" s="27"/>
      <c r="CJ604" s="27"/>
      <c r="CK604" s="27"/>
    </row>
    <row r="605" ht="14.25" customHeight="1">
      <c r="A605" s="118"/>
      <c r="B605" s="118"/>
      <c r="C605" s="118"/>
      <c r="D605" s="119"/>
      <c r="E605" s="119"/>
      <c r="F605" s="118"/>
      <c r="G605" s="118"/>
      <c r="H605" s="118"/>
      <c r="I605" s="118"/>
      <c r="AF605" s="22"/>
      <c r="AG605" s="22"/>
      <c r="AH605" s="22"/>
      <c r="AI605" s="22"/>
      <c r="AJ605" s="22"/>
      <c r="AK605" s="23"/>
      <c r="AN605" s="24"/>
      <c r="AO605" s="24"/>
      <c r="AX605" s="25"/>
      <c r="BR605" s="25"/>
      <c r="CF605" s="27"/>
      <c r="CG605" s="27"/>
      <c r="CH605" s="27"/>
      <c r="CI605" s="27"/>
      <c r="CJ605" s="27"/>
      <c r="CK605" s="27"/>
    </row>
    <row r="606" ht="14.25" customHeight="1">
      <c r="A606" s="118"/>
      <c r="B606" s="118"/>
      <c r="C606" s="118"/>
      <c r="D606" s="119"/>
      <c r="E606" s="119"/>
      <c r="F606" s="118"/>
      <c r="G606" s="118"/>
      <c r="H606" s="118"/>
      <c r="I606" s="118"/>
      <c r="AF606" s="22"/>
      <c r="AG606" s="22"/>
      <c r="AH606" s="22"/>
      <c r="AI606" s="22"/>
      <c r="AJ606" s="22"/>
      <c r="AK606" s="23"/>
      <c r="AN606" s="24"/>
      <c r="AO606" s="24"/>
      <c r="AX606" s="25"/>
      <c r="BR606" s="25"/>
      <c r="CF606" s="27"/>
      <c r="CG606" s="27"/>
      <c r="CH606" s="27"/>
      <c r="CI606" s="27"/>
      <c r="CJ606" s="27"/>
      <c r="CK606" s="27"/>
    </row>
    <row r="607" ht="14.25" customHeight="1">
      <c r="A607" s="118"/>
      <c r="B607" s="118"/>
      <c r="C607" s="118"/>
      <c r="D607" s="119"/>
      <c r="E607" s="119"/>
      <c r="F607" s="118"/>
      <c r="G607" s="118"/>
      <c r="H607" s="118"/>
      <c r="I607" s="118"/>
      <c r="AF607" s="22"/>
      <c r="AG607" s="22"/>
      <c r="AH607" s="22"/>
      <c r="AI607" s="22"/>
      <c r="AJ607" s="22"/>
      <c r="AK607" s="23"/>
      <c r="AN607" s="24"/>
      <c r="AO607" s="24"/>
      <c r="AX607" s="25"/>
      <c r="BR607" s="25"/>
      <c r="CF607" s="27"/>
      <c r="CG607" s="27"/>
      <c r="CH607" s="27"/>
      <c r="CI607" s="27"/>
      <c r="CJ607" s="27"/>
      <c r="CK607" s="27"/>
    </row>
    <row r="608" ht="14.25" customHeight="1">
      <c r="A608" s="118"/>
      <c r="B608" s="118"/>
      <c r="C608" s="118"/>
      <c r="D608" s="119"/>
      <c r="E608" s="119"/>
      <c r="F608" s="118"/>
      <c r="G608" s="118"/>
      <c r="H608" s="118"/>
      <c r="I608" s="118"/>
      <c r="AF608" s="22"/>
      <c r="AG608" s="22"/>
      <c r="AH608" s="22"/>
      <c r="AI608" s="22"/>
      <c r="AJ608" s="22"/>
      <c r="AK608" s="23"/>
      <c r="AN608" s="24"/>
      <c r="AO608" s="24"/>
      <c r="AX608" s="25"/>
      <c r="BR608" s="25"/>
      <c r="CF608" s="27"/>
      <c r="CG608" s="27"/>
      <c r="CH608" s="27"/>
      <c r="CI608" s="27"/>
      <c r="CJ608" s="27"/>
      <c r="CK608" s="27"/>
    </row>
    <row r="609" ht="14.25" customHeight="1">
      <c r="A609" s="118"/>
      <c r="B609" s="118"/>
      <c r="C609" s="118"/>
      <c r="D609" s="119"/>
      <c r="E609" s="119"/>
      <c r="F609" s="118"/>
      <c r="G609" s="118"/>
      <c r="H609" s="118"/>
      <c r="I609" s="118"/>
      <c r="AF609" s="22"/>
      <c r="AG609" s="22"/>
      <c r="AH609" s="22"/>
      <c r="AI609" s="22"/>
      <c r="AJ609" s="22"/>
      <c r="AK609" s="23"/>
      <c r="AN609" s="24"/>
      <c r="AO609" s="24"/>
      <c r="AX609" s="25"/>
      <c r="BR609" s="25"/>
      <c r="CF609" s="27"/>
      <c r="CG609" s="27"/>
      <c r="CH609" s="27"/>
      <c r="CI609" s="27"/>
      <c r="CJ609" s="27"/>
      <c r="CK609" s="27"/>
    </row>
    <row r="610" ht="14.25" customHeight="1">
      <c r="A610" s="118"/>
      <c r="B610" s="118"/>
      <c r="C610" s="118"/>
      <c r="D610" s="119"/>
      <c r="E610" s="119"/>
      <c r="F610" s="118"/>
      <c r="G610" s="118"/>
      <c r="H610" s="118"/>
      <c r="I610" s="118"/>
      <c r="AF610" s="22"/>
      <c r="AG610" s="22"/>
      <c r="AH610" s="22"/>
      <c r="AI610" s="22"/>
      <c r="AJ610" s="22"/>
      <c r="AK610" s="23"/>
      <c r="AN610" s="24"/>
      <c r="AO610" s="24"/>
      <c r="AX610" s="25"/>
      <c r="BR610" s="25"/>
      <c r="CF610" s="27"/>
      <c r="CG610" s="27"/>
      <c r="CH610" s="27"/>
      <c r="CI610" s="27"/>
      <c r="CJ610" s="27"/>
      <c r="CK610" s="27"/>
    </row>
    <row r="611" ht="14.25" customHeight="1">
      <c r="A611" s="118"/>
      <c r="B611" s="118"/>
      <c r="C611" s="118"/>
      <c r="D611" s="119"/>
      <c r="E611" s="119"/>
      <c r="F611" s="118"/>
      <c r="G611" s="118"/>
      <c r="H611" s="118"/>
      <c r="I611" s="118"/>
      <c r="AF611" s="22"/>
      <c r="AG611" s="22"/>
      <c r="AH611" s="22"/>
      <c r="AI611" s="22"/>
      <c r="AJ611" s="22"/>
      <c r="AK611" s="23"/>
      <c r="AN611" s="24"/>
      <c r="AO611" s="24"/>
      <c r="AX611" s="25"/>
      <c r="BR611" s="25"/>
      <c r="CF611" s="27"/>
      <c r="CG611" s="27"/>
      <c r="CH611" s="27"/>
      <c r="CI611" s="27"/>
      <c r="CJ611" s="27"/>
      <c r="CK611" s="27"/>
    </row>
    <row r="612" ht="14.25" customHeight="1">
      <c r="A612" s="118"/>
      <c r="B612" s="118"/>
      <c r="C612" s="118"/>
      <c r="D612" s="119"/>
      <c r="E612" s="119"/>
      <c r="F612" s="118"/>
      <c r="G612" s="118"/>
      <c r="H612" s="118"/>
      <c r="I612" s="118"/>
      <c r="AF612" s="22"/>
      <c r="AG612" s="22"/>
      <c r="AH612" s="22"/>
      <c r="AI612" s="22"/>
      <c r="AJ612" s="22"/>
      <c r="AK612" s="23"/>
      <c r="AN612" s="24"/>
      <c r="AO612" s="24"/>
      <c r="AX612" s="25"/>
      <c r="BR612" s="25"/>
      <c r="CF612" s="27"/>
      <c r="CG612" s="27"/>
      <c r="CH612" s="27"/>
      <c r="CI612" s="27"/>
      <c r="CJ612" s="27"/>
      <c r="CK612" s="27"/>
    </row>
    <row r="613" ht="14.25" customHeight="1">
      <c r="A613" s="118"/>
      <c r="B613" s="118"/>
      <c r="C613" s="118"/>
      <c r="D613" s="119"/>
      <c r="E613" s="119"/>
      <c r="F613" s="118"/>
      <c r="G613" s="118"/>
      <c r="H613" s="118"/>
      <c r="I613" s="118"/>
      <c r="AF613" s="22"/>
      <c r="AG613" s="22"/>
      <c r="AH613" s="22"/>
      <c r="AI613" s="22"/>
      <c r="AJ613" s="22"/>
      <c r="AK613" s="23"/>
      <c r="AN613" s="24"/>
      <c r="AO613" s="24"/>
      <c r="AX613" s="25"/>
      <c r="BR613" s="25"/>
      <c r="CF613" s="27"/>
      <c r="CG613" s="27"/>
      <c r="CH613" s="27"/>
      <c r="CI613" s="27"/>
      <c r="CJ613" s="27"/>
      <c r="CK613" s="27"/>
    </row>
    <row r="614" ht="14.25" customHeight="1">
      <c r="A614" s="118"/>
      <c r="B614" s="118"/>
      <c r="C614" s="118"/>
      <c r="D614" s="119"/>
      <c r="E614" s="119"/>
      <c r="F614" s="118"/>
      <c r="G614" s="118"/>
      <c r="H614" s="118"/>
      <c r="I614" s="118"/>
      <c r="AF614" s="22"/>
      <c r="AG614" s="22"/>
      <c r="AH614" s="22"/>
      <c r="AI614" s="22"/>
      <c r="AJ614" s="22"/>
      <c r="AK614" s="23"/>
      <c r="AN614" s="24"/>
      <c r="AO614" s="24"/>
      <c r="AX614" s="25"/>
      <c r="BR614" s="25"/>
      <c r="CF614" s="27"/>
      <c r="CG614" s="27"/>
      <c r="CH614" s="27"/>
      <c r="CI614" s="27"/>
      <c r="CJ614" s="27"/>
      <c r="CK614" s="27"/>
    </row>
    <row r="615" ht="14.25" customHeight="1">
      <c r="A615" s="118"/>
      <c r="B615" s="118"/>
      <c r="C615" s="118"/>
      <c r="D615" s="119"/>
      <c r="E615" s="119"/>
      <c r="F615" s="118"/>
      <c r="G615" s="118"/>
      <c r="H615" s="118"/>
      <c r="I615" s="118"/>
      <c r="AF615" s="22"/>
      <c r="AG615" s="22"/>
      <c r="AH615" s="22"/>
      <c r="AI615" s="22"/>
      <c r="AJ615" s="22"/>
      <c r="AK615" s="23"/>
      <c r="AN615" s="24"/>
      <c r="AO615" s="24"/>
      <c r="AX615" s="25"/>
      <c r="BR615" s="25"/>
      <c r="CF615" s="27"/>
      <c r="CG615" s="27"/>
      <c r="CH615" s="27"/>
      <c r="CI615" s="27"/>
      <c r="CJ615" s="27"/>
      <c r="CK615" s="27"/>
    </row>
    <row r="616" ht="14.25" customHeight="1">
      <c r="A616" s="118"/>
      <c r="B616" s="118"/>
      <c r="C616" s="118"/>
      <c r="D616" s="119"/>
      <c r="E616" s="119"/>
      <c r="F616" s="118"/>
      <c r="G616" s="118"/>
      <c r="H616" s="118"/>
      <c r="I616" s="118"/>
      <c r="AF616" s="22"/>
      <c r="AG616" s="22"/>
      <c r="AH616" s="22"/>
      <c r="AI616" s="22"/>
      <c r="AJ616" s="22"/>
      <c r="AK616" s="23"/>
      <c r="AN616" s="24"/>
      <c r="AO616" s="24"/>
      <c r="AX616" s="25"/>
      <c r="BR616" s="25"/>
      <c r="CF616" s="27"/>
      <c r="CG616" s="27"/>
      <c r="CH616" s="27"/>
      <c r="CI616" s="27"/>
      <c r="CJ616" s="27"/>
      <c r="CK616" s="27"/>
    </row>
    <row r="617" ht="14.25" customHeight="1">
      <c r="A617" s="118"/>
      <c r="B617" s="118"/>
      <c r="C617" s="118"/>
      <c r="D617" s="119"/>
      <c r="E617" s="119"/>
      <c r="F617" s="118"/>
      <c r="G617" s="118"/>
      <c r="H617" s="118"/>
      <c r="I617" s="118"/>
      <c r="AF617" s="22"/>
      <c r="AG617" s="22"/>
      <c r="AH617" s="22"/>
      <c r="AI617" s="22"/>
      <c r="AJ617" s="22"/>
      <c r="AK617" s="23"/>
      <c r="AN617" s="24"/>
      <c r="AO617" s="24"/>
      <c r="AX617" s="25"/>
      <c r="BR617" s="25"/>
      <c r="CF617" s="27"/>
      <c r="CG617" s="27"/>
      <c r="CH617" s="27"/>
      <c r="CI617" s="27"/>
      <c r="CJ617" s="27"/>
      <c r="CK617" s="27"/>
    </row>
    <row r="618" ht="14.25" customHeight="1">
      <c r="A618" s="118"/>
      <c r="B618" s="118"/>
      <c r="C618" s="118"/>
      <c r="D618" s="119"/>
      <c r="E618" s="119"/>
      <c r="F618" s="118"/>
      <c r="G618" s="118"/>
      <c r="H618" s="118"/>
      <c r="I618" s="118"/>
      <c r="AF618" s="22"/>
      <c r="AG618" s="22"/>
      <c r="AH618" s="22"/>
      <c r="AI618" s="22"/>
      <c r="AJ618" s="22"/>
      <c r="AK618" s="23"/>
      <c r="AN618" s="24"/>
      <c r="AO618" s="24"/>
      <c r="AX618" s="25"/>
      <c r="BR618" s="25"/>
      <c r="CF618" s="27"/>
      <c r="CG618" s="27"/>
      <c r="CH618" s="27"/>
      <c r="CI618" s="27"/>
      <c r="CJ618" s="27"/>
      <c r="CK618" s="27"/>
    </row>
    <row r="619" ht="14.25" customHeight="1">
      <c r="A619" s="118"/>
      <c r="B619" s="118"/>
      <c r="C619" s="118"/>
      <c r="D619" s="119"/>
      <c r="E619" s="119"/>
      <c r="F619" s="118"/>
      <c r="G619" s="118"/>
      <c r="H619" s="118"/>
      <c r="I619" s="118"/>
      <c r="AF619" s="22"/>
      <c r="AG619" s="22"/>
      <c r="AH619" s="22"/>
      <c r="AI619" s="22"/>
      <c r="AJ619" s="22"/>
      <c r="AK619" s="23"/>
      <c r="AN619" s="24"/>
      <c r="AO619" s="24"/>
      <c r="AX619" s="25"/>
      <c r="BR619" s="25"/>
      <c r="CF619" s="27"/>
      <c r="CG619" s="27"/>
      <c r="CH619" s="27"/>
      <c r="CI619" s="27"/>
      <c r="CJ619" s="27"/>
      <c r="CK619" s="27"/>
    </row>
    <row r="620" ht="14.25" customHeight="1">
      <c r="A620" s="118"/>
      <c r="B620" s="118"/>
      <c r="C620" s="118"/>
      <c r="D620" s="119"/>
      <c r="E620" s="119"/>
      <c r="F620" s="118"/>
      <c r="G620" s="118"/>
      <c r="H620" s="118"/>
      <c r="I620" s="118"/>
      <c r="AF620" s="22"/>
      <c r="AG620" s="22"/>
      <c r="AH620" s="22"/>
      <c r="AI620" s="22"/>
      <c r="AJ620" s="22"/>
      <c r="AK620" s="23"/>
      <c r="AN620" s="24"/>
      <c r="AO620" s="24"/>
      <c r="AX620" s="25"/>
      <c r="BR620" s="25"/>
      <c r="CF620" s="27"/>
      <c r="CG620" s="27"/>
      <c r="CH620" s="27"/>
      <c r="CI620" s="27"/>
      <c r="CJ620" s="27"/>
      <c r="CK620" s="27"/>
    </row>
    <row r="621" ht="14.25" customHeight="1">
      <c r="A621" s="118"/>
      <c r="B621" s="118"/>
      <c r="C621" s="118"/>
      <c r="D621" s="119"/>
      <c r="E621" s="119"/>
      <c r="F621" s="118"/>
      <c r="G621" s="118"/>
      <c r="H621" s="118"/>
      <c r="I621" s="118"/>
      <c r="AF621" s="22"/>
      <c r="AG621" s="22"/>
      <c r="AH621" s="22"/>
      <c r="AI621" s="22"/>
      <c r="AJ621" s="22"/>
      <c r="AK621" s="23"/>
      <c r="AN621" s="24"/>
      <c r="AO621" s="24"/>
      <c r="AX621" s="25"/>
      <c r="BR621" s="25"/>
      <c r="CF621" s="27"/>
      <c r="CG621" s="27"/>
      <c r="CH621" s="27"/>
      <c r="CI621" s="27"/>
      <c r="CJ621" s="27"/>
      <c r="CK621" s="27"/>
    </row>
    <row r="622" ht="14.25" customHeight="1">
      <c r="A622" s="118"/>
      <c r="B622" s="118"/>
      <c r="C622" s="118"/>
      <c r="D622" s="119"/>
      <c r="E622" s="119"/>
      <c r="F622" s="118"/>
      <c r="G622" s="118"/>
      <c r="H622" s="118"/>
      <c r="I622" s="118"/>
      <c r="AF622" s="22"/>
      <c r="AG622" s="22"/>
      <c r="AH622" s="22"/>
      <c r="AI622" s="22"/>
      <c r="AJ622" s="22"/>
      <c r="AK622" s="23"/>
      <c r="AN622" s="24"/>
      <c r="AO622" s="24"/>
      <c r="AX622" s="25"/>
      <c r="BR622" s="25"/>
      <c r="CF622" s="27"/>
      <c r="CG622" s="27"/>
      <c r="CH622" s="27"/>
      <c r="CI622" s="27"/>
      <c r="CJ622" s="27"/>
      <c r="CK622" s="27"/>
    </row>
    <row r="623" ht="14.25" customHeight="1">
      <c r="A623" s="118"/>
      <c r="B623" s="118"/>
      <c r="C623" s="118"/>
      <c r="D623" s="119"/>
      <c r="E623" s="119"/>
      <c r="F623" s="118"/>
      <c r="G623" s="118"/>
      <c r="H623" s="118"/>
      <c r="I623" s="118"/>
      <c r="AF623" s="22"/>
      <c r="AG623" s="22"/>
      <c r="AH623" s="22"/>
      <c r="AI623" s="22"/>
      <c r="AJ623" s="22"/>
      <c r="AK623" s="23"/>
      <c r="AN623" s="24"/>
      <c r="AO623" s="24"/>
      <c r="AX623" s="25"/>
      <c r="BR623" s="25"/>
      <c r="CF623" s="27"/>
      <c r="CG623" s="27"/>
      <c r="CH623" s="27"/>
      <c r="CI623" s="27"/>
      <c r="CJ623" s="27"/>
      <c r="CK623" s="27"/>
    </row>
    <row r="624" ht="14.25" customHeight="1">
      <c r="A624" s="118"/>
      <c r="B624" s="118"/>
      <c r="C624" s="118"/>
      <c r="D624" s="119"/>
      <c r="E624" s="119"/>
      <c r="F624" s="118"/>
      <c r="G624" s="118"/>
      <c r="H624" s="118"/>
      <c r="I624" s="118"/>
      <c r="AF624" s="22"/>
      <c r="AG624" s="22"/>
      <c r="AH624" s="22"/>
      <c r="AI624" s="22"/>
      <c r="AJ624" s="22"/>
      <c r="AK624" s="23"/>
      <c r="AN624" s="24"/>
      <c r="AO624" s="24"/>
      <c r="AX624" s="25"/>
      <c r="BR624" s="25"/>
      <c r="CF624" s="27"/>
      <c r="CG624" s="27"/>
      <c r="CH624" s="27"/>
      <c r="CI624" s="27"/>
      <c r="CJ624" s="27"/>
      <c r="CK624" s="27"/>
    </row>
    <row r="625" ht="14.25" customHeight="1">
      <c r="A625" s="118"/>
      <c r="B625" s="118"/>
      <c r="C625" s="118"/>
      <c r="D625" s="119"/>
      <c r="E625" s="119"/>
      <c r="F625" s="118"/>
      <c r="G625" s="118"/>
      <c r="H625" s="118"/>
      <c r="I625" s="118"/>
      <c r="AF625" s="22"/>
      <c r="AG625" s="22"/>
      <c r="AH625" s="22"/>
      <c r="AI625" s="22"/>
      <c r="AJ625" s="22"/>
      <c r="AK625" s="23"/>
      <c r="AN625" s="24"/>
      <c r="AO625" s="24"/>
      <c r="AX625" s="25"/>
      <c r="BR625" s="25"/>
      <c r="CF625" s="27"/>
      <c r="CG625" s="27"/>
      <c r="CH625" s="27"/>
      <c r="CI625" s="27"/>
      <c r="CJ625" s="27"/>
      <c r="CK625" s="27"/>
    </row>
    <row r="626" ht="14.25" customHeight="1">
      <c r="A626" s="118"/>
      <c r="B626" s="118"/>
      <c r="C626" s="118"/>
      <c r="D626" s="119"/>
      <c r="E626" s="119"/>
      <c r="F626" s="118"/>
      <c r="G626" s="118"/>
      <c r="H626" s="118"/>
      <c r="I626" s="118"/>
      <c r="AF626" s="22"/>
      <c r="AG626" s="22"/>
      <c r="AH626" s="22"/>
      <c r="AI626" s="22"/>
      <c r="AJ626" s="22"/>
      <c r="AK626" s="23"/>
      <c r="AN626" s="24"/>
      <c r="AO626" s="24"/>
      <c r="AX626" s="25"/>
      <c r="BR626" s="25"/>
      <c r="CF626" s="27"/>
      <c r="CG626" s="27"/>
      <c r="CH626" s="27"/>
      <c r="CI626" s="27"/>
      <c r="CJ626" s="27"/>
      <c r="CK626" s="27"/>
    </row>
    <row r="627" ht="14.25" customHeight="1">
      <c r="A627" s="118"/>
      <c r="B627" s="118"/>
      <c r="C627" s="118"/>
      <c r="D627" s="119"/>
      <c r="E627" s="119"/>
      <c r="F627" s="118"/>
      <c r="G627" s="118"/>
      <c r="H627" s="118"/>
      <c r="I627" s="118"/>
      <c r="AF627" s="22"/>
      <c r="AG627" s="22"/>
      <c r="AH627" s="22"/>
      <c r="AI627" s="22"/>
      <c r="AJ627" s="22"/>
      <c r="AK627" s="23"/>
      <c r="AN627" s="24"/>
      <c r="AO627" s="24"/>
      <c r="AX627" s="25"/>
      <c r="BR627" s="25"/>
      <c r="CF627" s="27"/>
      <c r="CG627" s="27"/>
      <c r="CH627" s="27"/>
      <c r="CI627" s="27"/>
      <c r="CJ627" s="27"/>
      <c r="CK627" s="27"/>
    </row>
    <row r="628" ht="14.25" customHeight="1">
      <c r="A628" s="118"/>
      <c r="B628" s="118"/>
      <c r="C628" s="118"/>
      <c r="D628" s="119"/>
      <c r="E628" s="119"/>
      <c r="F628" s="118"/>
      <c r="G628" s="118"/>
      <c r="H628" s="118"/>
      <c r="I628" s="118"/>
      <c r="AF628" s="22"/>
      <c r="AG628" s="22"/>
      <c r="AH628" s="22"/>
      <c r="AI628" s="22"/>
      <c r="AJ628" s="22"/>
      <c r="AK628" s="23"/>
      <c r="AN628" s="24"/>
      <c r="AO628" s="24"/>
      <c r="AX628" s="25"/>
      <c r="BR628" s="25"/>
      <c r="CF628" s="27"/>
      <c r="CG628" s="27"/>
      <c r="CH628" s="27"/>
      <c r="CI628" s="27"/>
      <c r="CJ628" s="27"/>
      <c r="CK628" s="27"/>
    </row>
    <row r="629" ht="14.25" customHeight="1">
      <c r="A629" s="118"/>
      <c r="B629" s="118"/>
      <c r="C629" s="118"/>
      <c r="D629" s="119"/>
      <c r="E629" s="119"/>
      <c r="F629" s="118"/>
      <c r="G629" s="118"/>
      <c r="H629" s="118"/>
      <c r="I629" s="118"/>
      <c r="AF629" s="22"/>
      <c r="AG629" s="22"/>
      <c r="AH629" s="22"/>
      <c r="AI629" s="22"/>
      <c r="AJ629" s="22"/>
      <c r="AK629" s="23"/>
      <c r="AN629" s="24"/>
      <c r="AO629" s="24"/>
      <c r="AX629" s="25"/>
      <c r="BR629" s="25"/>
      <c r="CF629" s="27"/>
      <c r="CG629" s="27"/>
      <c r="CH629" s="27"/>
      <c r="CI629" s="27"/>
      <c r="CJ629" s="27"/>
      <c r="CK629" s="27"/>
    </row>
    <row r="630" ht="14.25" customHeight="1">
      <c r="A630" s="118"/>
      <c r="B630" s="118"/>
      <c r="C630" s="118"/>
      <c r="D630" s="119"/>
      <c r="E630" s="119"/>
      <c r="F630" s="118"/>
      <c r="G630" s="118"/>
      <c r="H630" s="118"/>
      <c r="I630" s="118"/>
      <c r="AF630" s="22"/>
      <c r="AG630" s="22"/>
      <c r="AH630" s="22"/>
      <c r="AI630" s="22"/>
      <c r="AJ630" s="22"/>
      <c r="AK630" s="23"/>
      <c r="AN630" s="24"/>
      <c r="AO630" s="24"/>
      <c r="AX630" s="25"/>
      <c r="BR630" s="25"/>
      <c r="CF630" s="27"/>
      <c r="CG630" s="27"/>
      <c r="CH630" s="27"/>
      <c r="CI630" s="27"/>
      <c r="CJ630" s="27"/>
      <c r="CK630" s="27"/>
    </row>
    <row r="631" ht="14.25" customHeight="1">
      <c r="A631" s="118"/>
      <c r="B631" s="118"/>
      <c r="C631" s="118"/>
      <c r="D631" s="119"/>
      <c r="E631" s="119"/>
      <c r="F631" s="118"/>
      <c r="G631" s="118"/>
      <c r="H631" s="118"/>
      <c r="I631" s="118"/>
      <c r="AF631" s="22"/>
      <c r="AG631" s="22"/>
      <c r="AH631" s="22"/>
      <c r="AI631" s="22"/>
      <c r="AJ631" s="22"/>
      <c r="AK631" s="23"/>
      <c r="AN631" s="24"/>
      <c r="AO631" s="24"/>
      <c r="AX631" s="25"/>
      <c r="BR631" s="25"/>
      <c r="CF631" s="27"/>
      <c r="CG631" s="27"/>
      <c r="CH631" s="27"/>
      <c r="CI631" s="27"/>
      <c r="CJ631" s="27"/>
      <c r="CK631" s="27"/>
    </row>
    <row r="632" ht="14.25" customHeight="1">
      <c r="A632" s="118"/>
      <c r="B632" s="118"/>
      <c r="C632" s="118"/>
      <c r="D632" s="119"/>
      <c r="E632" s="119"/>
      <c r="F632" s="118"/>
      <c r="G632" s="118"/>
      <c r="H632" s="118"/>
      <c r="I632" s="118"/>
      <c r="AF632" s="22"/>
      <c r="AG632" s="22"/>
      <c r="AH632" s="22"/>
      <c r="AI632" s="22"/>
      <c r="AJ632" s="22"/>
      <c r="AK632" s="23"/>
      <c r="AN632" s="24"/>
      <c r="AO632" s="24"/>
      <c r="AX632" s="25"/>
      <c r="BR632" s="25"/>
      <c r="CF632" s="27"/>
      <c r="CG632" s="27"/>
      <c r="CH632" s="27"/>
      <c r="CI632" s="27"/>
      <c r="CJ632" s="27"/>
      <c r="CK632" s="27"/>
    </row>
    <row r="633" ht="14.25" customHeight="1">
      <c r="A633" s="118"/>
      <c r="B633" s="118"/>
      <c r="C633" s="118"/>
      <c r="D633" s="119"/>
      <c r="E633" s="119"/>
      <c r="F633" s="118"/>
      <c r="G633" s="118"/>
      <c r="H633" s="118"/>
      <c r="I633" s="118"/>
      <c r="AF633" s="22"/>
      <c r="AG633" s="22"/>
      <c r="AH633" s="22"/>
      <c r="AI633" s="22"/>
      <c r="AJ633" s="22"/>
      <c r="AK633" s="23"/>
      <c r="AN633" s="24"/>
      <c r="AO633" s="24"/>
      <c r="AX633" s="25"/>
      <c r="BR633" s="25"/>
      <c r="CF633" s="27"/>
      <c r="CG633" s="27"/>
      <c r="CH633" s="27"/>
      <c r="CI633" s="27"/>
      <c r="CJ633" s="27"/>
      <c r="CK633" s="27"/>
    </row>
    <row r="634" ht="14.25" customHeight="1">
      <c r="A634" s="118"/>
      <c r="B634" s="118"/>
      <c r="C634" s="118"/>
      <c r="D634" s="119"/>
      <c r="E634" s="119"/>
      <c r="F634" s="118"/>
      <c r="G634" s="118"/>
      <c r="H634" s="118"/>
      <c r="I634" s="118"/>
      <c r="AF634" s="22"/>
      <c r="AG634" s="22"/>
      <c r="AH634" s="22"/>
      <c r="AI634" s="22"/>
      <c r="AJ634" s="22"/>
      <c r="AK634" s="23"/>
      <c r="AN634" s="24"/>
      <c r="AO634" s="24"/>
      <c r="AX634" s="25"/>
      <c r="BR634" s="25"/>
      <c r="CF634" s="27"/>
      <c r="CG634" s="27"/>
      <c r="CH634" s="27"/>
      <c r="CI634" s="27"/>
      <c r="CJ634" s="27"/>
      <c r="CK634" s="27"/>
    </row>
    <row r="635" ht="14.25" customHeight="1">
      <c r="A635" s="118"/>
      <c r="B635" s="118"/>
      <c r="C635" s="118"/>
      <c r="D635" s="119"/>
      <c r="E635" s="119"/>
      <c r="F635" s="118"/>
      <c r="G635" s="118"/>
      <c r="H635" s="118"/>
      <c r="I635" s="118"/>
      <c r="AF635" s="22"/>
      <c r="AG635" s="22"/>
      <c r="AH635" s="22"/>
      <c r="AI635" s="22"/>
      <c r="AJ635" s="22"/>
      <c r="AK635" s="23"/>
      <c r="AN635" s="24"/>
      <c r="AO635" s="24"/>
      <c r="AX635" s="25"/>
      <c r="BR635" s="25"/>
      <c r="CF635" s="27"/>
      <c r="CG635" s="27"/>
      <c r="CH635" s="27"/>
      <c r="CI635" s="27"/>
      <c r="CJ635" s="27"/>
      <c r="CK635" s="27"/>
    </row>
    <row r="636" ht="14.25" customHeight="1">
      <c r="A636" s="118"/>
      <c r="B636" s="118"/>
      <c r="C636" s="118"/>
      <c r="D636" s="119"/>
      <c r="E636" s="119"/>
      <c r="F636" s="118"/>
      <c r="G636" s="118"/>
      <c r="H636" s="118"/>
      <c r="I636" s="118"/>
      <c r="AF636" s="22"/>
      <c r="AG636" s="22"/>
      <c r="AH636" s="22"/>
      <c r="AI636" s="22"/>
      <c r="AJ636" s="22"/>
      <c r="AK636" s="23"/>
      <c r="AN636" s="24"/>
      <c r="AO636" s="24"/>
      <c r="AX636" s="25"/>
      <c r="BR636" s="25"/>
      <c r="CF636" s="27"/>
      <c r="CG636" s="27"/>
      <c r="CH636" s="27"/>
      <c r="CI636" s="27"/>
      <c r="CJ636" s="27"/>
      <c r="CK636" s="27"/>
    </row>
    <row r="637" ht="14.25" customHeight="1">
      <c r="A637" s="118"/>
      <c r="B637" s="118"/>
      <c r="C637" s="118"/>
      <c r="D637" s="119"/>
      <c r="E637" s="119"/>
      <c r="F637" s="118"/>
      <c r="G637" s="118"/>
      <c r="H637" s="118"/>
      <c r="I637" s="118"/>
      <c r="AF637" s="22"/>
      <c r="AG637" s="22"/>
      <c r="AH637" s="22"/>
      <c r="AI637" s="22"/>
      <c r="AJ637" s="22"/>
      <c r="AK637" s="23"/>
      <c r="AN637" s="24"/>
      <c r="AO637" s="24"/>
      <c r="AX637" s="25"/>
      <c r="BR637" s="25"/>
      <c r="CF637" s="27"/>
      <c r="CG637" s="27"/>
      <c r="CH637" s="27"/>
      <c r="CI637" s="27"/>
      <c r="CJ637" s="27"/>
      <c r="CK637" s="27"/>
    </row>
    <row r="638" ht="14.25" customHeight="1">
      <c r="A638" s="118"/>
      <c r="B638" s="118"/>
      <c r="C638" s="118"/>
      <c r="D638" s="119"/>
      <c r="E638" s="119"/>
      <c r="F638" s="118"/>
      <c r="G638" s="118"/>
      <c r="H638" s="118"/>
      <c r="I638" s="118"/>
      <c r="AF638" s="22"/>
      <c r="AG638" s="22"/>
      <c r="AH638" s="22"/>
      <c r="AI638" s="22"/>
      <c r="AJ638" s="22"/>
      <c r="AK638" s="23"/>
      <c r="AN638" s="24"/>
      <c r="AO638" s="24"/>
      <c r="AX638" s="25"/>
      <c r="BR638" s="25"/>
      <c r="CF638" s="27"/>
      <c r="CG638" s="27"/>
      <c r="CH638" s="27"/>
      <c r="CI638" s="27"/>
      <c r="CJ638" s="27"/>
      <c r="CK638" s="27"/>
    </row>
    <row r="639" ht="14.25" customHeight="1">
      <c r="A639" s="118"/>
      <c r="B639" s="118"/>
      <c r="C639" s="118"/>
      <c r="D639" s="119"/>
      <c r="E639" s="119"/>
      <c r="F639" s="118"/>
      <c r="G639" s="118"/>
      <c r="H639" s="118"/>
      <c r="I639" s="118"/>
      <c r="AF639" s="22"/>
      <c r="AG639" s="22"/>
      <c r="AH639" s="22"/>
      <c r="AI639" s="22"/>
      <c r="AJ639" s="22"/>
      <c r="AK639" s="23"/>
      <c r="AN639" s="24"/>
      <c r="AO639" s="24"/>
      <c r="AX639" s="25"/>
      <c r="BR639" s="25"/>
      <c r="CF639" s="27"/>
      <c r="CG639" s="27"/>
      <c r="CH639" s="27"/>
      <c r="CI639" s="27"/>
      <c r="CJ639" s="27"/>
      <c r="CK639" s="27"/>
    </row>
    <row r="640" ht="14.25" customHeight="1">
      <c r="A640" s="118"/>
      <c r="B640" s="118"/>
      <c r="C640" s="118"/>
      <c r="D640" s="119"/>
      <c r="E640" s="119"/>
      <c r="F640" s="118"/>
      <c r="G640" s="118"/>
      <c r="H640" s="118"/>
      <c r="I640" s="118"/>
      <c r="AF640" s="22"/>
      <c r="AG640" s="22"/>
      <c r="AH640" s="22"/>
      <c r="AI640" s="22"/>
      <c r="AJ640" s="22"/>
      <c r="AK640" s="23"/>
      <c r="AN640" s="24"/>
      <c r="AO640" s="24"/>
      <c r="AX640" s="25"/>
      <c r="BR640" s="25"/>
      <c r="CF640" s="27"/>
      <c r="CG640" s="27"/>
      <c r="CH640" s="27"/>
      <c r="CI640" s="27"/>
      <c r="CJ640" s="27"/>
      <c r="CK640" s="27"/>
    </row>
    <row r="641" ht="14.25" customHeight="1">
      <c r="A641" s="118"/>
      <c r="B641" s="118"/>
      <c r="C641" s="118"/>
      <c r="D641" s="119"/>
      <c r="E641" s="119"/>
      <c r="F641" s="118"/>
      <c r="G641" s="118"/>
      <c r="H641" s="118"/>
      <c r="I641" s="118"/>
      <c r="AF641" s="22"/>
      <c r="AG641" s="22"/>
      <c r="AH641" s="22"/>
      <c r="AI641" s="22"/>
      <c r="AJ641" s="22"/>
      <c r="AK641" s="23"/>
      <c r="AN641" s="24"/>
      <c r="AO641" s="24"/>
      <c r="AX641" s="25"/>
      <c r="BR641" s="25"/>
      <c r="CF641" s="27"/>
      <c r="CG641" s="27"/>
      <c r="CH641" s="27"/>
      <c r="CI641" s="27"/>
      <c r="CJ641" s="27"/>
      <c r="CK641" s="27"/>
    </row>
    <row r="642" ht="14.25" customHeight="1">
      <c r="A642" s="118"/>
      <c r="B642" s="118"/>
      <c r="C642" s="118"/>
      <c r="D642" s="119"/>
      <c r="E642" s="119"/>
      <c r="F642" s="118"/>
      <c r="G642" s="118"/>
      <c r="H642" s="118"/>
      <c r="I642" s="118"/>
      <c r="AF642" s="22"/>
      <c r="AG642" s="22"/>
      <c r="AH642" s="22"/>
      <c r="AI642" s="22"/>
      <c r="AJ642" s="22"/>
      <c r="AK642" s="23"/>
      <c r="AN642" s="24"/>
      <c r="AO642" s="24"/>
      <c r="AX642" s="25"/>
      <c r="BR642" s="25"/>
      <c r="CF642" s="27"/>
      <c r="CG642" s="27"/>
      <c r="CH642" s="27"/>
      <c r="CI642" s="27"/>
      <c r="CJ642" s="27"/>
      <c r="CK642" s="27"/>
    </row>
    <row r="643" ht="14.25" customHeight="1">
      <c r="A643" s="118"/>
      <c r="B643" s="118"/>
      <c r="C643" s="118"/>
      <c r="D643" s="119"/>
      <c r="E643" s="119"/>
      <c r="F643" s="118"/>
      <c r="G643" s="118"/>
      <c r="H643" s="118"/>
      <c r="I643" s="118"/>
      <c r="AF643" s="22"/>
      <c r="AG643" s="22"/>
      <c r="AH643" s="22"/>
      <c r="AI643" s="22"/>
      <c r="AJ643" s="22"/>
      <c r="AK643" s="23"/>
      <c r="AN643" s="24"/>
      <c r="AO643" s="24"/>
      <c r="AX643" s="25"/>
      <c r="BR643" s="25"/>
      <c r="CF643" s="27"/>
      <c r="CG643" s="27"/>
      <c r="CH643" s="27"/>
      <c r="CI643" s="27"/>
      <c r="CJ643" s="27"/>
      <c r="CK643" s="27"/>
    </row>
    <row r="644" ht="14.25" customHeight="1">
      <c r="A644" s="118"/>
      <c r="B644" s="118"/>
      <c r="C644" s="118"/>
      <c r="D644" s="119"/>
      <c r="E644" s="119"/>
      <c r="F644" s="118"/>
      <c r="G644" s="118"/>
      <c r="H644" s="118"/>
      <c r="I644" s="118"/>
      <c r="AF644" s="22"/>
      <c r="AG644" s="22"/>
      <c r="AH644" s="22"/>
      <c r="AI644" s="22"/>
      <c r="AJ644" s="22"/>
      <c r="AK644" s="23"/>
      <c r="AN644" s="24"/>
      <c r="AO644" s="24"/>
      <c r="AX644" s="25"/>
      <c r="BR644" s="25"/>
      <c r="CF644" s="27"/>
      <c r="CG644" s="27"/>
      <c r="CH644" s="27"/>
      <c r="CI644" s="27"/>
      <c r="CJ644" s="27"/>
      <c r="CK644" s="27"/>
    </row>
    <row r="645" ht="14.25" customHeight="1">
      <c r="A645" s="118"/>
      <c r="B645" s="118"/>
      <c r="C645" s="118"/>
      <c r="D645" s="119"/>
      <c r="E645" s="119"/>
      <c r="F645" s="118"/>
      <c r="G645" s="118"/>
      <c r="H645" s="118"/>
      <c r="I645" s="118"/>
      <c r="AF645" s="22"/>
      <c r="AG645" s="22"/>
      <c r="AH645" s="22"/>
      <c r="AI645" s="22"/>
      <c r="AJ645" s="22"/>
      <c r="AK645" s="23"/>
      <c r="AN645" s="24"/>
      <c r="AO645" s="24"/>
      <c r="AX645" s="25"/>
      <c r="BR645" s="25"/>
      <c r="CF645" s="27"/>
      <c r="CG645" s="27"/>
      <c r="CH645" s="27"/>
      <c r="CI645" s="27"/>
      <c r="CJ645" s="27"/>
      <c r="CK645" s="27"/>
    </row>
    <row r="646" ht="14.25" customHeight="1">
      <c r="A646" s="118"/>
      <c r="B646" s="118"/>
      <c r="C646" s="118"/>
      <c r="D646" s="119"/>
      <c r="E646" s="119"/>
      <c r="F646" s="118"/>
      <c r="G646" s="118"/>
      <c r="H646" s="118"/>
      <c r="I646" s="118"/>
      <c r="AF646" s="22"/>
      <c r="AG646" s="22"/>
      <c r="AH646" s="22"/>
      <c r="AI646" s="22"/>
      <c r="AJ646" s="22"/>
      <c r="AK646" s="23"/>
      <c r="AN646" s="24"/>
      <c r="AO646" s="24"/>
      <c r="AX646" s="25"/>
      <c r="BR646" s="25"/>
      <c r="CF646" s="27"/>
      <c r="CG646" s="27"/>
      <c r="CH646" s="27"/>
      <c r="CI646" s="27"/>
      <c r="CJ646" s="27"/>
      <c r="CK646" s="27"/>
    </row>
    <row r="647" ht="14.25" customHeight="1">
      <c r="A647" s="118"/>
      <c r="B647" s="118"/>
      <c r="C647" s="118"/>
      <c r="D647" s="119"/>
      <c r="E647" s="119"/>
      <c r="F647" s="118"/>
      <c r="G647" s="118"/>
      <c r="H647" s="118"/>
      <c r="I647" s="118"/>
      <c r="AF647" s="22"/>
      <c r="AG647" s="22"/>
      <c r="AH647" s="22"/>
      <c r="AI647" s="22"/>
      <c r="AJ647" s="22"/>
      <c r="AK647" s="23"/>
      <c r="AN647" s="24"/>
      <c r="AO647" s="24"/>
      <c r="AX647" s="25"/>
      <c r="BR647" s="25"/>
      <c r="CF647" s="27"/>
      <c r="CG647" s="27"/>
      <c r="CH647" s="27"/>
      <c r="CI647" s="27"/>
      <c r="CJ647" s="27"/>
      <c r="CK647" s="27"/>
    </row>
    <row r="648" ht="14.25" customHeight="1">
      <c r="A648" s="118"/>
      <c r="B648" s="118"/>
      <c r="C648" s="118"/>
      <c r="D648" s="119"/>
      <c r="E648" s="119"/>
      <c r="F648" s="118"/>
      <c r="G648" s="118"/>
      <c r="H648" s="118"/>
      <c r="I648" s="118"/>
      <c r="AF648" s="22"/>
      <c r="AG648" s="22"/>
      <c r="AH648" s="22"/>
      <c r="AI648" s="22"/>
      <c r="AJ648" s="22"/>
      <c r="AK648" s="23"/>
      <c r="AN648" s="24"/>
      <c r="AO648" s="24"/>
      <c r="AX648" s="25"/>
      <c r="BR648" s="25"/>
      <c r="CF648" s="27"/>
      <c r="CG648" s="27"/>
      <c r="CH648" s="27"/>
      <c r="CI648" s="27"/>
      <c r="CJ648" s="27"/>
      <c r="CK648" s="27"/>
    </row>
    <row r="649" ht="14.25" customHeight="1">
      <c r="A649" s="118"/>
      <c r="B649" s="118"/>
      <c r="C649" s="118"/>
      <c r="D649" s="119"/>
      <c r="E649" s="119"/>
      <c r="F649" s="118"/>
      <c r="G649" s="118"/>
      <c r="H649" s="118"/>
      <c r="I649" s="118"/>
      <c r="AF649" s="22"/>
      <c r="AG649" s="22"/>
      <c r="AH649" s="22"/>
      <c r="AI649" s="22"/>
      <c r="AJ649" s="22"/>
      <c r="AK649" s="23"/>
      <c r="AN649" s="24"/>
      <c r="AO649" s="24"/>
      <c r="AX649" s="25"/>
      <c r="BR649" s="25"/>
      <c r="CF649" s="27"/>
      <c r="CG649" s="27"/>
      <c r="CH649" s="27"/>
      <c r="CI649" s="27"/>
      <c r="CJ649" s="27"/>
      <c r="CK649" s="27"/>
    </row>
    <row r="650" ht="14.25" customHeight="1">
      <c r="A650" s="118"/>
      <c r="B650" s="118"/>
      <c r="C650" s="118"/>
      <c r="D650" s="119"/>
      <c r="E650" s="119"/>
      <c r="F650" s="118"/>
      <c r="G650" s="118"/>
      <c r="H650" s="118"/>
      <c r="I650" s="118"/>
      <c r="AF650" s="22"/>
      <c r="AG650" s="22"/>
      <c r="AH650" s="22"/>
      <c r="AI650" s="22"/>
      <c r="AJ650" s="22"/>
      <c r="AK650" s="23"/>
      <c r="AN650" s="24"/>
      <c r="AO650" s="24"/>
      <c r="AX650" s="25"/>
      <c r="BR650" s="25"/>
      <c r="CF650" s="27"/>
      <c r="CG650" s="27"/>
      <c r="CH650" s="27"/>
      <c r="CI650" s="27"/>
      <c r="CJ650" s="27"/>
      <c r="CK650" s="27"/>
    </row>
    <row r="651" ht="14.25" customHeight="1">
      <c r="A651" s="118"/>
      <c r="B651" s="118"/>
      <c r="C651" s="118"/>
      <c r="D651" s="119"/>
      <c r="E651" s="119"/>
      <c r="F651" s="118"/>
      <c r="G651" s="118"/>
      <c r="H651" s="118"/>
      <c r="I651" s="118"/>
      <c r="AF651" s="22"/>
      <c r="AG651" s="22"/>
      <c r="AH651" s="22"/>
      <c r="AI651" s="22"/>
      <c r="AJ651" s="22"/>
      <c r="AK651" s="23"/>
      <c r="AN651" s="24"/>
      <c r="AO651" s="24"/>
      <c r="AX651" s="25"/>
      <c r="BR651" s="25"/>
      <c r="CF651" s="27"/>
      <c r="CG651" s="27"/>
      <c r="CH651" s="27"/>
      <c r="CI651" s="27"/>
      <c r="CJ651" s="27"/>
      <c r="CK651" s="27"/>
    </row>
    <row r="652" ht="14.25" customHeight="1">
      <c r="A652" s="118"/>
      <c r="B652" s="118"/>
      <c r="C652" s="118"/>
      <c r="D652" s="119"/>
      <c r="E652" s="119"/>
      <c r="F652" s="118"/>
      <c r="G652" s="118"/>
      <c r="H652" s="118"/>
      <c r="I652" s="118"/>
      <c r="AF652" s="22"/>
      <c r="AG652" s="22"/>
      <c r="AH652" s="22"/>
      <c r="AI652" s="22"/>
      <c r="AJ652" s="22"/>
      <c r="AK652" s="23"/>
      <c r="AN652" s="24"/>
      <c r="AO652" s="24"/>
      <c r="AX652" s="25"/>
      <c r="BR652" s="25"/>
      <c r="CF652" s="27"/>
      <c r="CG652" s="27"/>
      <c r="CH652" s="27"/>
      <c r="CI652" s="27"/>
      <c r="CJ652" s="27"/>
      <c r="CK652" s="27"/>
    </row>
    <row r="653" ht="14.25" customHeight="1">
      <c r="A653" s="118"/>
      <c r="B653" s="118"/>
      <c r="C653" s="118"/>
      <c r="D653" s="119"/>
      <c r="E653" s="119"/>
      <c r="F653" s="118"/>
      <c r="G653" s="118"/>
      <c r="H653" s="118"/>
      <c r="I653" s="118"/>
      <c r="AF653" s="22"/>
      <c r="AG653" s="22"/>
      <c r="AH653" s="22"/>
      <c r="AI653" s="22"/>
      <c r="AJ653" s="22"/>
      <c r="AK653" s="23"/>
      <c r="AN653" s="24"/>
      <c r="AO653" s="24"/>
      <c r="AX653" s="25"/>
      <c r="BR653" s="25"/>
      <c r="CF653" s="27"/>
      <c r="CG653" s="27"/>
      <c r="CH653" s="27"/>
      <c r="CI653" s="27"/>
      <c r="CJ653" s="27"/>
      <c r="CK653" s="27"/>
    </row>
    <row r="654" ht="14.25" customHeight="1">
      <c r="A654" s="118"/>
      <c r="B654" s="118"/>
      <c r="C654" s="118"/>
      <c r="D654" s="119"/>
      <c r="E654" s="119"/>
      <c r="F654" s="118"/>
      <c r="G654" s="118"/>
      <c r="H654" s="118"/>
      <c r="I654" s="118"/>
      <c r="AF654" s="22"/>
      <c r="AG654" s="22"/>
      <c r="AH654" s="22"/>
      <c r="AI654" s="22"/>
      <c r="AJ654" s="22"/>
      <c r="AK654" s="23"/>
      <c r="AN654" s="24"/>
      <c r="AO654" s="24"/>
      <c r="AX654" s="25"/>
      <c r="BR654" s="25"/>
      <c r="CF654" s="27"/>
      <c r="CG654" s="27"/>
      <c r="CH654" s="27"/>
      <c r="CI654" s="27"/>
      <c r="CJ654" s="27"/>
      <c r="CK654" s="27"/>
    </row>
    <row r="655" ht="14.25" customHeight="1">
      <c r="A655" s="118"/>
      <c r="B655" s="118"/>
      <c r="C655" s="118"/>
      <c r="D655" s="119"/>
      <c r="E655" s="119"/>
      <c r="F655" s="118"/>
      <c r="G655" s="118"/>
      <c r="H655" s="118"/>
      <c r="I655" s="118"/>
      <c r="AF655" s="22"/>
      <c r="AG655" s="22"/>
      <c r="AH655" s="22"/>
      <c r="AI655" s="22"/>
      <c r="AJ655" s="22"/>
      <c r="AK655" s="23"/>
      <c r="AN655" s="24"/>
      <c r="AO655" s="24"/>
      <c r="AX655" s="25"/>
      <c r="BR655" s="25"/>
      <c r="CF655" s="27"/>
      <c r="CG655" s="27"/>
      <c r="CH655" s="27"/>
      <c r="CI655" s="27"/>
      <c r="CJ655" s="27"/>
      <c r="CK655" s="27"/>
    </row>
    <row r="656" ht="14.25" customHeight="1">
      <c r="A656" s="118"/>
      <c r="B656" s="118"/>
      <c r="C656" s="118"/>
      <c r="D656" s="119"/>
      <c r="E656" s="119"/>
      <c r="F656" s="118"/>
      <c r="G656" s="118"/>
      <c r="H656" s="118"/>
      <c r="I656" s="118"/>
      <c r="AF656" s="22"/>
      <c r="AG656" s="22"/>
      <c r="AH656" s="22"/>
      <c r="AI656" s="22"/>
      <c r="AJ656" s="22"/>
      <c r="AK656" s="23"/>
      <c r="AN656" s="24"/>
      <c r="AO656" s="24"/>
      <c r="AX656" s="25"/>
      <c r="BR656" s="25"/>
      <c r="CF656" s="27"/>
      <c r="CG656" s="27"/>
      <c r="CH656" s="27"/>
      <c r="CI656" s="27"/>
      <c r="CJ656" s="27"/>
      <c r="CK656" s="27"/>
    </row>
    <row r="657" ht="14.25" customHeight="1">
      <c r="A657" s="118"/>
      <c r="B657" s="118"/>
      <c r="C657" s="118"/>
      <c r="D657" s="119"/>
      <c r="E657" s="119"/>
      <c r="F657" s="118"/>
      <c r="G657" s="118"/>
      <c r="H657" s="118"/>
      <c r="I657" s="118"/>
      <c r="AF657" s="22"/>
      <c r="AG657" s="22"/>
      <c r="AH657" s="22"/>
      <c r="AI657" s="22"/>
      <c r="AJ657" s="22"/>
      <c r="AK657" s="23"/>
      <c r="AN657" s="24"/>
      <c r="AO657" s="24"/>
      <c r="AX657" s="25"/>
      <c r="BR657" s="25"/>
      <c r="CF657" s="27"/>
      <c r="CG657" s="27"/>
      <c r="CH657" s="27"/>
      <c r="CI657" s="27"/>
      <c r="CJ657" s="27"/>
      <c r="CK657" s="27"/>
    </row>
    <row r="658" ht="14.25" customHeight="1">
      <c r="A658" s="118"/>
      <c r="B658" s="118"/>
      <c r="C658" s="118"/>
      <c r="D658" s="119"/>
      <c r="E658" s="119"/>
      <c r="F658" s="118"/>
      <c r="G658" s="118"/>
      <c r="H658" s="118"/>
      <c r="I658" s="118"/>
      <c r="AF658" s="22"/>
      <c r="AG658" s="22"/>
      <c r="AH658" s="22"/>
      <c r="AI658" s="22"/>
      <c r="AJ658" s="22"/>
      <c r="AK658" s="23"/>
      <c r="AN658" s="24"/>
      <c r="AO658" s="24"/>
      <c r="AX658" s="25"/>
      <c r="BR658" s="25"/>
      <c r="CF658" s="27"/>
      <c r="CG658" s="27"/>
      <c r="CH658" s="27"/>
      <c r="CI658" s="27"/>
      <c r="CJ658" s="27"/>
      <c r="CK658" s="27"/>
    </row>
    <row r="659" ht="14.25" customHeight="1">
      <c r="A659" s="118"/>
      <c r="B659" s="118"/>
      <c r="C659" s="118"/>
      <c r="D659" s="119"/>
      <c r="E659" s="119"/>
      <c r="F659" s="118"/>
      <c r="G659" s="118"/>
      <c r="H659" s="118"/>
      <c r="I659" s="118"/>
      <c r="AF659" s="22"/>
      <c r="AG659" s="22"/>
      <c r="AH659" s="22"/>
      <c r="AI659" s="22"/>
      <c r="AJ659" s="22"/>
      <c r="AK659" s="23"/>
      <c r="AN659" s="24"/>
      <c r="AO659" s="24"/>
      <c r="AX659" s="25"/>
      <c r="BR659" s="25"/>
      <c r="CF659" s="27"/>
      <c r="CG659" s="27"/>
      <c r="CH659" s="27"/>
      <c r="CI659" s="27"/>
      <c r="CJ659" s="27"/>
      <c r="CK659" s="27"/>
    </row>
    <row r="660" ht="14.25" customHeight="1">
      <c r="A660" s="118"/>
      <c r="B660" s="118"/>
      <c r="C660" s="118"/>
      <c r="D660" s="119"/>
      <c r="E660" s="119"/>
      <c r="F660" s="118"/>
      <c r="G660" s="118"/>
      <c r="H660" s="118"/>
      <c r="I660" s="118"/>
      <c r="AF660" s="22"/>
      <c r="AG660" s="22"/>
      <c r="AH660" s="22"/>
      <c r="AI660" s="22"/>
      <c r="AJ660" s="22"/>
      <c r="AK660" s="23"/>
      <c r="AN660" s="24"/>
      <c r="AO660" s="24"/>
      <c r="AX660" s="25"/>
      <c r="BR660" s="25"/>
      <c r="CF660" s="27"/>
      <c r="CG660" s="27"/>
      <c r="CH660" s="27"/>
      <c r="CI660" s="27"/>
      <c r="CJ660" s="27"/>
      <c r="CK660" s="27"/>
    </row>
    <row r="661" ht="14.25" customHeight="1">
      <c r="A661" s="118"/>
      <c r="B661" s="118"/>
      <c r="C661" s="118"/>
      <c r="D661" s="119"/>
      <c r="E661" s="119"/>
      <c r="F661" s="118"/>
      <c r="G661" s="118"/>
      <c r="H661" s="118"/>
      <c r="I661" s="118"/>
      <c r="AF661" s="22"/>
      <c r="AG661" s="22"/>
      <c r="AH661" s="22"/>
      <c r="AI661" s="22"/>
      <c r="AJ661" s="22"/>
      <c r="AK661" s="23"/>
      <c r="AN661" s="24"/>
      <c r="AO661" s="24"/>
      <c r="AX661" s="25"/>
      <c r="BR661" s="25"/>
      <c r="CF661" s="27"/>
      <c r="CG661" s="27"/>
      <c r="CH661" s="27"/>
      <c r="CI661" s="27"/>
      <c r="CJ661" s="27"/>
      <c r="CK661" s="27"/>
    </row>
    <row r="662" ht="14.25" customHeight="1">
      <c r="A662" s="118"/>
      <c r="B662" s="118"/>
      <c r="C662" s="118"/>
      <c r="D662" s="119"/>
      <c r="E662" s="119"/>
      <c r="F662" s="118"/>
      <c r="G662" s="118"/>
      <c r="H662" s="118"/>
      <c r="I662" s="118"/>
      <c r="AF662" s="22"/>
      <c r="AG662" s="22"/>
      <c r="AH662" s="22"/>
      <c r="AI662" s="22"/>
      <c r="AJ662" s="22"/>
      <c r="AK662" s="23"/>
      <c r="AN662" s="24"/>
      <c r="AO662" s="24"/>
      <c r="AX662" s="25"/>
      <c r="BR662" s="25"/>
      <c r="CF662" s="27"/>
      <c r="CG662" s="27"/>
      <c r="CH662" s="27"/>
      <c r="CI662" s="27"/>
      <c r="CJ662" s="27"/>
      <c r="CK662" s="27"/>
    </row>
    <row r="663" ht="14.25" customHeight="1">
      <c r="A663" s="118"/>
      <c r="B663" s="118"/>
      <c r="C663" s="118"/>
      <c r="D663" s="119"/>
      <c r="E663" s="119"/>
      <c r="F663" s="118"/>
      <c r="G663" s="118"/>
      <c r="H663" s="118"/>
      <c r="I663" s="118"/>
      <c r="AF663" s="22"/>
      <c r="AG663" s="22"/>
      <c r="AH663" s="22"/>
      <c r="AI663" s="22"/>
      <c r="AJ663" s="22"/>
      <c r="AK663" s="23"/>
      <c r="AN663" s="24"/>
      <c r="AO663" s="24"/>
      <c r="AX663" s="25"/>
      <c r="BR663" s="25"/>
      <c r="CF663" s="27"/>
      <c r="CG663" s="27"/>
      <c r="CH663" s="27"/>
      <c r="CI663" s="27"/>
      <c r="CJ663" s="27"/>
      <c r="CK663" s="27"/>
    </row>
    <row r="664" ht="14.25" customHeight="1">
      <c r="A664" s="118"/>
      <c r="B664" s="118"/>
      <c r="C664" s="118"/>
      <c r="D664" s="119"/>
      <c r="E664" s="119"/>
      <c r="F664" s="118"/>
      <c r="G664" s="118"/>
      <c r="H664" s="118"/>
      <c r="I664" s="118"/>
      <c r="AF664" s="22"/>
      <c r="AG664" s="22"/>
      <c r="AH664" s="22"/>
      <c r="AI664" s="22"/>
      <c r="AJ664" s="22"/>
      <c r="AK664" s="23"/>
      <c r="AN664" s="24"/>
      <c r="AO664" s="24"/>
      <c r="AX664" s="25"/>
      <c r="BR664" s="25"/>
      <c r="CF664" s="27"/>
      <c r="CG664" s="27"/>
      <c r="CH664" s="27"/>
      <c r="CI664" s="27"/>
      <c r="CJ664" s="27"/>
      <c r="CK664" s="27"/>
    </row>
    <row r="665" ht="14.25" customHeight="1">
      <c r="A665" s="118"/>
      <c r="B665" s="118"/>
      <c r="C665" s="118"/>
      <c r="D665" s="119"/>
      <c r="E665" s="119"/>
      <c r="F665" s="118"/>
      <c r="G665" s="118"/>
      <c r="H665" s="118"/>
      <c r="I665" s="118"/>
      <c r="AF665" s="22"/>
      <c r="AG665" s="22"/>
      <c r="AH665" s="22"/>
      <c r="AI665" s="22"/>
      <c r="AJ665" s="22"/>
      <c r="AK665" s="23"/>
      <c r="AN665" s="24"/>
      <c r="AO665" s="24"/>
      <c r="AX665" s="25"/>
      <c r="BR665" s="25"/>
      <c r="CF665" s="27"/>
      <c r="CG665" s="27"/>
      <c r="CH665" s="27"/>
      <c r="CI665" s="27"/>
      <c r="CJ665" s="27"/>
      <c r="CK665" s="27"/>
    </row>
    <row r="666" ht="14.25" customHeight="1">
      <c r="A666" s="118"/>
      <c r="B666" s="118"/>
      <c r="C666" s="118"/>
      <c r="D666" s="119"/>
      <c r="E666" s="119"/>
      <c r="F666" s="118"/>
      <c r="G666" s="118"/>
      <c r="H666" s="118"/>
      <c r="I666" s="118"/>
      <c r="AF666" s="22"/>
      <c r="AG666" s="22"/>
      <c r="AH666" s="22"/>
      <c r="AI666" s="22"/>
      <c r="AJ666" s="22"/>
      <c r="AK666" s="23"/>
      <c r="AN666" s="24"/>
      <c r="AO666" s="24"/>
      <c r="AX666" s="25"/>
      <c r="BR666" s="25"/>
      <c r="CF666" s="27"/>
      <c r="CG666" s="27"/>
      <c r="CH666" s="27"/>
      <c r="CI666" s="27"/>
      <c r="CJ666" s="27"/>
      <c r="CK666" s="27"/>
    </row>
    <row r="667" ht="14.25" customHeight="1">
      <c r="A667" s="118"/>
      <c r="B667" s="118"/>
      <c r="C667" s="118"/>
      <c r="D667" s="119"/>
      <c r="E667" s="119"/>
      <c r="F667" s="118"/>
      <c r="G667" s="118"/>
      <c r="H667" s="118"/>
      <c r="I667" s="118"/>
      <c r="AF667" s="22"/>
      <c r="AG667" s="22"/>
      <c r="AH667" s="22"/>
      <c r="AI667" s="22"/>
      <c r="AJ667" s="22"/>
      <c r="AK667" s="23"/>
      <c r="AN667" s="24"/>
      <c r="AO667" s="24"/>
      <c r="AX667" s="25"/>
      <c r="BR667" s="25"/>
      <c r="CF667" s="27"/>
      <c r="CG667" s="27"/>
      <c r="CH667" s="27"/>
      <c r="CI667" s="27"/>
      <c r="CJ667" s="27"/>
      <c r="CK667" s="27"/>
    </row>
    <row r="668" ht="14.25" customHeight="1">
      <c r="A668" s="118"/>
      <c r="B668" s="118"/>
      <c r="C668" s="118"/>
      <c r="D668" s="119"/>
      <c r="E668" s="119"/>
      <c r="F668" s="118"/>
      <c r="G668" s="118"/>
      <c r="H668" s="118"/>
      <c r="I668" s="118"/>
      <c r="AF668" s="22"/>
      <c r="AG668" s="22"/>
      <c r="AH668" s="22"/>
      <c r="AI668" s="22"/>
      <c r="AJ668" s="22"/>
      <c r="AK668" s="23"/>
      <c r="AN668" s="24"/>
      <c r="AO668" s="24"/>
      <c r="AX668" s="25"/>
      <c r="BR668" s="25"/>
      <c r="CF668" s="27"/>
      <c r="CG668" s="27"/>
      <c r="CH668" s="27"/>
      <c r="CI668" s="27"/>
      <c r="CJ668" s="27"/>
      <c r="CK668" s="27"/>
    </row>
    <row r="669" ht="14.25" customHeight="1">
      <c r="A669" s="118"/>
      <c r="B669" s="118"/>
      <c r="C669" s="118"/>
      <c r="D669" s="119"/>
      <c r="E669" s="119"/>
      <c r="F669" s="118"/>
      <c r="G669" s="118"/>
      <c r="H669" s="118"/>
      <c r="I669" s="118"/>
      <c r="AF669" s="22"/>
      <c r="AG669" s="22"/>
      <c r="AH669" s="22"/>
      <c r="AI669" s="22"/>
      <c r="AJ669" s="22"/>
      <c r="AK669" s="23"/>
      <c r="AN669" s="24"/>
      <c r="AO669" s="24"/>
      <c r="AX669" s="25"/>
      <c r="BR669" s="25"/>
      <c r="CF669" s="27"/>
      <c r="CG669" s="27"/>
      <c r="CH669" s="27"/>
      <c r="CI669" s="27"/>
      <c r="CJ669" s="27"/>
      <c r="CK669" s="27"/>
    </row>
    <row r="670" ht="14.25" customHeight="1">
      <c r="A670" s="118"/>
      <c r="B670" s="118"/>
      <c r="C670" s="118"/>
      <c r="D670" s="119"/>
      <c r="E670" s="119"/>
      <c r="F670" s="118"/>
      <c r="G670" s="118"/>
      <c r="H670" s="118"/>
      <c r="I670" s="118"/>
      <c r="AF670" s="22"/>
      <c r="AG670" s="22"/>
      <c r="AH670" s="22"/>
      <c r="AI670" s="22"/>
      <c r="AJ670" s="22"/>
      <c r="AK670" s="23"/>
      <c r="AN670" s="24"/>
      <c r="AO670" s="24"/>
      <c r="AX670" s="25"/>
      <c r="BR670" s="25"/>
      <c r="CF670" s="27"/>
      <c r="CG670" s="27"/>
      <c r="CH670" s="27"/>
      <c r="CI670" s="27"/>
      <c r="CJ670" s="27"/>
      <c r="CK670" s="27"/>
    </row>
    <row r="671" ht="14.25" customHeight="1">
      <c r="A671" s="118"/>
      <c r="B671" s="118"/>
      <c r="C671" s="118"/>
      <c r="D671" s="119"/>
      <c r="E671" s="119"/>
      <c r="F671" s="118"/>
      <c r="G671" s="118"/>
      <c r="H671" s="118"/>
      <c r="I671" s="118"/>
      <c r="AF671" s="22"/>
      <c r="AG671" s="22"/>
      <c r="AH671" s="22"/>
      <c r="AI671" s="22"/>
      <c r="AJ671" s="22"/>
      <c r="AK671" s="23"/>
      <c r="AN671" s="24"/>
      <c r="AO671" s="24"/>
      <c r="AX671" s="25"/>
      <c r="BR671" s="25"/>
      <c r="CF671" s="27"/>
      <c r="CG671" s="27"/>
      <c r="CH671" s="27"/>
      <c r="CI671" s="27"/>
      <c r="CJ671" s="27"/>
      <c r="CK671" s="27"/>
    </row>
    <row r="672" ht="14.25" customHeight="1">
      <c r="A672" s="118"/>
      <c r="B672" s="118"/>
      <c r="C672" s="118"/>
      <c r="D672" s="119"/>
      <c r="E672" s="119"/>
      <c r="F672" s="118"/>
      <c r="G672" s="118"/>
      <c r="H672" s="118"/>
      <c r="I672" s="118"/>
      <c r="AF672" s="22"/>
      <c r="AG672" s="22"/>
      <c r="AH672" s="22"/>
      <c r="AI672" s="22"/>
      <c r="AJ672" s="22"/>
      <c r="AK672" s="23"/>
      <c r="AN672" s="24"/>
      <c r="AO672" s="24"/>
      <c r="AX672" s="25"/>
      <c r="BR672" s="25"/>
      <c r="CF672" s="27"/>
      <c r="CG672" s="27"/>
      <c r="CH672" s="27"/>
      <c r="CI672" s="27"/>
      <c r="CJ672" s="27"/>
      <c r="CK672" s="27"/>
    </row>
    <row r="673" ht="14.25" customHeight="1">
      <c r="A673" s="118"/>
      <c r="B673" s="118"/>
      <c r="C673" s="118"/>
      <c r="D673" s="119"/>
      <c r="E673" s="119"/>
      <c r="F673" s="118"/>
      <c r="G673" s="118"/>
      <c r="H673" s="118"/>
      <c r="I673" s="118"/>
      <c r="AF673" s="22"/>
      <c r="AG673" s="22"/>
      <c r="AH673" s="22"/>
      <c r="AI673" s="22"/>
      <c r="AJ673" s="22"/>
      <c r="AK673" s="23"/>
      <c r="AN673" s="24"/>
      <c r="AO673" s="24"/>
      <c r="AX673" s="25"/>
      <c r="BR673" s="25"/>
      <c r="CF673" s="27"/>
      <c r="CG673" s="27"/>
      <c r="CH673" s="27"/>
      <c r="CI673" s="27"/>
      <c r="CJ673" s="27"/>
      <c r="CK673" s="27"/>
    </row>
    <row r="674" ht="14.25" customHeight="1">
      <c r="A674" s="118"/>
      <c r="B674" s="118"/>
      <c r="C674" s="118"/>
      <c r="D674" s="119"/>
      <c r="E674" s="119"/>
      <c r="F674" s="118"/>
      <c r="G674" s="118"/>
      <c r="H674" s="118"/>
      <c r="I674" s="118"/>
      <c r="AF674" s="22"/>
      <c r="AG674" s="22"/>
      <c r="AH674" s="22"/>
      <c r="AI674" s="22"/>
      <c r="AJ674" s="22"/>
      <c r="AK674" s="23"/>
      <c r="AN674" s="24"/>
      <c r="AO674" s="24"/>
      <c r="AX674" s="25"/>
      <c r="BR674" s="25"/>
      <c r="CF674" s="27"/>
      <c r="CG674" s="27"/>
      <c r="CH674" s="27"/>
      <c r="CI674" s="27"/>
      <c r="CJ674" s="27"/>
      <c r="CK674" s="27"/>
    </row>
    <row r="675" ht="14.25" customHeight="1">
      <c r="A675" s="118"/>
      <c r="B675" s="118"/>
      <c r="C675" s="118"/>
      <c r="D675" s="119"/>
      <c r="E675" s="119"/>
      <c r="F675" s="118"/>
      <c r="G675" s="118"/>
      <c r="H675" s="118"/>
      <c r="I675" s="118"/>
      <c r="AF675" s="22"/>
      <c r="AG675" s="22"/>
      <c r="AH675" s="22"/>
      <c r="AI675" s="22"/>
      <c r="AJ675" s="22"/>
      <c r="AK675" s="23"/>
      <c r="AN675" s="24"/>
      <c r="AO675" s="24"/>
      <c r="AX675" s="25"/>
      <c r="BR675" s="25"/>
      <c r="CF675" s="27"/>
      <c r="CG675" s="27"/>
      <c r="CH675" s="27"/>
      <c r="CI675" s="27"/>
      <c r="CJ675" s="27"/>
      <c r="CK675" s="27"/>
    </row>
    <row r="676" ht="14.25" customHeight="1">
      <c r="A676" s="118"/>
      <c r="B676" s="118"/>
      <c r="C676" s="118"/>
      <c r="D676" s="119"/>
      <c r="E676" s="119"/>
      <c r="F676" s="118"/>
      <c r="G676" s="118"/>
      <c r="H676" s="118"/>
      <c r="I676" s="118"/>
      <c r="AF676" s="22"/>
      <c r="AG676" s="22"/>
      <c r="AH676" s="22"/>
      <c r="AI676" s="22"/>
      <c r="AJ676" s="22"/>
      <c r="AK676" s="23"/>
      <c r="AN676" s="24"/>
      <c r="AO676" s="24"/>
      <c r="AX676" s="25"/>
      <c r="BR676" s="25"/>
      <c r="CF676" s="27"/>
      <c r="CG676" s="27"/>
      <c r="CH676" s="27"/>
      <c r="CI676" s="27"/>
      <c r="CJ676" s="27"/>
      <c r="CK676" s="27"/>
    </row>
    <row r="677" ht="14.25" customHeight="1">
      <c r="A677" s="118"/>
      <c r="B677" s="118"/>
      <c r="C677" s="118"/>
      <c r="D677" s="119"/>
      <c r="E677" s="119"/>
      <c r="F677" s="118"/>
      <c r="G677" s="118"/>
      <c r="H677" s="118"/>
      <c r="I677" s="118"/>
      <c r="AF677" s="22"/>
      <c r="AG677" s="22"/>
      <c r="AH677" s="22"/>
      <c r="AI677" s="22"/>
      <c r="AJ677" s="22"/>
      <c r="AK677" s="23"/>
      <c r="AN677" s="24"/>
      <c r="AO677" s="24"/>
      <c r="AX677" s="25"/>
      <c r="BR677" s="25"/>
      <c r="CF677" s="27"/>
      <c r="CG677" s="27"/>
      <c r="CH677" s="27"/>
      <c r="CI677" s="27"/>
      <c r="CJ677" s="27"/>
      <c r="CK677" s="27"/>
    </row>
    <row r="678" ht="14.25" customHeight="1">
      <c r="A678" s="118"/>
      <c r="B678" s="118"/>
      <c r="C678" s="118"/>
      <c r="D678" s="119"/>
      <c r="E678" s="119"/>
      <c r="F678" s="118"/>
      <c r="G678" s="118"/>
      <c r="H678" s="118"/>
      <c r="I678" s="118"/>
      <c r="AF678" s="22"/>
      <c r="AG678" s="22"/>
      <c r="AH678" s="22"/>
      <c r="AI678" s="22"/>
      <c r="AJ678" s="22"/>
      <c r="AK678" s="23"/>
      <c r="AN678" s="24"/>
      <c r="AO678" s="24"/>
      <c r="AX678" s="25"/>
      <c r="BR678" s="25"/>
      <c r="CF678" s="27"/>
      <c r="CG678" s="27"/>
      <c r="CH678" s="27"/>
      <c r="CI678" s="27"/>
      <c r="CJ678" s="27"/>
      <c r="CK678" s="27"/>
    </row>
    <row r="679" ht="14.25" customHeight="1">
      <c r="A679" s="118"/>
      <c r="B679" s="118"/>
      <c r="C679" s="118"/>
      <c r="D679" s="119"/>
      <c r="E679" s="119"/>
      <c r="F679" s="118"/>
      <c r="G679" s="118"/>
      <c r="H679" s="118"/>
      <c r="I679" s="118"/>
      <c r="AF679" s="22"/>
      <c r="AG679" s="22"/>
      <c r="AH679" s="22"/>
      <c r="AI679" s="22"/>
      <c r="AJ679" s="22"/>
      <c r="AK679" s="23"/>
      <c r="AN679" s="24"/>
      <c r="AO679" s="24"/>
      <c r="AX679" s="25"/>
      <c r="BR679" s="25"/>
      <c r="CF679" s="27"/>
      <c r="CG679" s="27"/>
      <c r="CH679" s="27"/>
      <c r="CI679" s="27"/>
      <c r="CJ679" s="27"/>
      <c r="CK679" s="27"/>
    </row>
    <row r="680" ht="14.25" customHeight="1">
      <c r="A680" s="118"/>
      <c r="B680" s="118"/>
      <c r="C680" s="118"/>
      <c r="D680" s="119"/>
      <c r="E680" s="119"/>
      <c r="F680" s="118"/>
      <c r="G680" s="118"/>
      <c r="H680" s="118"/>
      <c r="I680" s="118"/>
      <c r="AF680" s="22"/>
      <c r="AG680" s="22"/>
      <c r="AH680" s="22"/>
      <c r="AI680" s="22"/>
      <c r="AJ680" s="22"/>
      <c r="AK680" s="23"/>
      <c r="AN680" s="24"/>
      <c r="AO680" s="24"/>
      <c r="AX680" s="25"/>
      <c r="BR680" s="25"/>
      <c r="CF680" s="27"/>
      <c r="CG680" s="27"/>
      <c r="CH680" s="27"/>
      <c r="CI680" s="27"/>
      <c r="CJ680" s="27"/>
      <c r="CK680" s="27"/>
    </row>
    <row r="681" ht="14.25" customHeight="1">
      <c r="A681" s="118"/>
      <c r="B681" s="118"/>
      <c r="C681" s="118"/>
      <c r="D681" s="119"/>
      <c r="E681" s="119"/>
      <c r="F681" s="118"/>
      <c r="G681" s="118"/>
      <c r="H681" s="118"/>
      <c r="I681" s="118"/>
      <c r="AF681" s="22"/>
      <c r="AG681" s="22"/>
      <c r="AH681" s="22"/>
      <c r="AI681" s="22"/>
      <c r="AJ681" s="22"/>
      <c r="AK681" s="23"/>
      <c r="AN681" s="24"/>
      <c r="AO681" s="24"/>
      <c r="AX681" s="25"/>
      <c r="BR681" s="25"/>
      <c r="CF681" s="27"/>
      <c r="CG681" s="27"/>
      <c r="CH681" s="27"/>
      <c r="CI681" s="27"/>
      <c r="CJ681" s="27"/>
      <c r="CK681" s="27"/>
    </row>
    <row r="682" ht="14.25" customHeight="1">
      <c r="A682" s="118"/>
      <c r="B682" s="118"/>
      <c r="C682" s="118"/>
      <c r="D682" s="119"/>
      <c r="E682" s="119"/>
      <c r="F682" s="118"/>
      <c r="G682" s="118"/>
      <c r="H682" s="118"/>
      <c r="I682" s="118"/>
      <c r="AF682" s="22"/>
      <c r="AG682" s="22"/>
      <c r="AH682" s="22"/>
      <c r="AI682" s="22"/>
      <c r="AJ682" s="22"/>
      <c r="AK682" s="23"/>
      <c r="AN682" s="24"/>
      <c r="AO682" s="24"/>
      <c r="AX682" s="25"/>
      <c r="BR682" s="25"/>
      <c r="CF682" s="27"/>
      <c r="CG682" s="27"/>
      <c r="CH682" s="27"/>
      <c r="CI682" s="27"/>
      <c r="CJ682" s="27"/>
      <c r="CK682" s="27"/>
    </row>
    <row r="683" ht="14.25" customHeight="1">
      <c r="A683" s="118"/>
      <c r="B683" s="118"/>
      <c r="C683" s="118"/>
      <c r="D683" s="119"/>
      <c r="E683" s="119"/>
      <c r="F683" s="118"/>
      <c r="G683" s="118"/>
      <c r="H683" s="118"/>
      <c r="I683" s="118"/>
      <c r="AF683" s="22"/>
      <c r="AG683" s="22"/>
      <c r="AH683" s="22"/>
      <c r="AI683" s="22"/>
      <c r="AJ683" s="22"/>
      <c r="AK683" s="23"/>
      <c r="AN683" s="24"/>
      <c r="AO683" s="24"/>
      <c r="AX683" s="25"/>
      <c r="BR683" s="25"/>
      <c r="CF683" s="27"/>
      <c r="CG683" s="27"/>
      <c r="CH683" s="27"/>
      <c r="CI683" s="27"/>
      <c r="CJ683" s="27"/>
      <c r="CK683" s="27"/>
    </row>
    <row r="684" ht="14.25" customHeight="1">
      <c r="A684" s="118"/>
      <c r="B684" s="118"/>
      <c r="C684" s="118"/>
      <c r="D684" s="119"/>
      <c r="E684" s="119"/>
      <c r="F684" s="118"/>
      <c r="G684" s="118"/>
      <c r="H684" s="118"/>
      <c r="I684" s="118"/>
      <c r="AF684" s="22"/>
      <c r="AG684" s="22"/>
      <c r="AH684" s="22"/>
      <c r="AI684" s="22"/>
      <c r="AJ684" s="22"/>
      <c r="AK684" s="23"/>
      <c r="AN684" s="24"/>
      <c r="AO684" s="24"/>
      <c r="AX684" s="25"/>
      <c r="BR684" s="25"/>
      <c r="CF684" s="27"/>
      <c r="CG684" s="27"/>
      <c r="CH684" s="27"/>
      <c r="CI684" s="27"/>
      <c r="CJ684" s="27"/>
      <c r="CK684" s="27"/>
    </row>
    <row r="685" ht="14.25" customHeight="1">
      <c r="A685" s="118"/>
      <c r="B685" s="118"/>
      <c r="C685" s="118"/>
      <c r="D685" s="119"/>
      <c r="E685" s="119"/>
      <c r="F685" s="118"/>
      <c r="G685" s="118"/>
      <c r="H685" s="118"/>
      <c r="I685" s="118"/>
      <c r="AF685" s="22"/>
      <c r="AG685" s="22"/>
      <c r="AH685" s="22"/>
      <c r="AI685" s="22"/>
      <c r="AJ685" s="22"/>
      <c r="AK685" s="23"/>
      <c r="AN685" s="24"/>
      <c r="AO685" s="24"/>
      <c r="AX685" s="25"/>
      <c r="BR685" s="25"/>
      <c r="CF685" s="27"/>
      <c r="CG685" s="27"/>
      <c r="CH685" s="27"/>
      <c r="CI685" s="27"/>
      <c r="CJ685" s="27"/>
      <c r="CK685" s="27"/>
    </row>
    <row r="686" ht="14.25" customHeight="1">
      <c r="A686" s="118"/>
      <c r="B686" s="118"/>
      <c r="C686" s="118"/>
      <c r="D686" s="119"/>
      <c r="E686" s="119"/>
      <c r="F686" s="118"/>
      <c r="G686" s="118"/>
      <c r="H686" s="118"/>
      <c r="I686" s="118"/>
      <c r="AF686" s="22"/>
      <c r="AG686" s="22"/>
      <c r="AH686" s="22"/>
      <c r="AI686" s="22"/>
      <c r="AJ686" s="22"/>
      <c r="AK686" s="23"/>
      <c r="AN686" s="24"/>
      <c r="AO686" s="24"/>
      <c r="AX686" s="25"/>
      <c r="BR686" s="25"/>
      <c r="CF686" s="27"/>
      <c r="CG686" s="27"/>
      <c r="CH686" s="27"/>
      <c r="CI686" s="27"/>
      <c r="CJ686" s="27"/>
      <c r="CK686" s="27"/>
    </row>
    <row r="687" ht="14.25" customHeight="1">
      <c r="A687" s="118"/>
      <c r="B687" s="118"/>
      <c r="C687" s="118"/>
      <c r="D687" s="119"/>
      <c r="E687" s="119"/>
      <c r="F687" s="118"/>
      <c r="G687" s="118"/>
      <c r="H687" s="118"/>
      <c r="I687" s="118"/>
      <c r="AF687" s="22"/>
      <c r="AG687" s="22"/>
      <c r="AH687" s="22"/>
      <c r="AI687" s="22"/>
      <c r="AJ687" s="22"/>
      <c r="AK687" s="23"/>
      <c r="AN687" s="24"/>
      <c r="AO687" s="24"/>
      <c r="AX687" s="25"/>
      <c r="BR687" s="25"/>
      <c r="CF687" s="27"/>
      <c r="CG687" s="27"/>
      <c r="CH687" s="27"/>
      <c r="CI687" s="27"/>
      <c r="CJ687" s="27"/>
      <c r="CK687" s="27"/>
    </row>
    <row r="688" ht="14.25" customHeight="1">
      <c r="A688" s="118"/>
      <c r="B688" s="118"/>
      <c r="C688" s="118"/>
      <c r="D688" s="119"/>
      <c r="E688" s="119"/>
      <c r="F688" s="118"/>
      <c r="G688" s="118"/>
      <c r="H688" s="118"/>
      <c r="I688" s="118"/>
      <c r="AF688" s="22"/>
      <c r="AG688" s="22"/>
      <c r="AH688" s="22"/>
      <c r="AI688" s="22"/>
      <c r="AJ688" s="22"/>
      <c r="AK688" s="23"/>
      <c r="AN688" s="24"/>
      <c r="AO688" s="24"/>
      <c r="AX688" s="25"/>
      <c r="BR688" s="25"/>
      <c r="CF688" s="27"/>
      <c r="CG688" s="27"/>
      <c r="CH688" s="27"/>
      <c r="CI688" s="27"/>
      <c r="CJ688" s="27"/>
      <c r="CK688" s="27"/>
    </row>
    <row r="689" ht="14.25" customHeight="1">
      <c r="A689" s="118"/>
      <c r="B689" s="118"/>
      <c r="C689" s="118"/>
      <c r="D689" s="119"/>
      <c r="E689" s="119"/>
      <c r="F689" s="118"/>
      <c r="G689" s="118"/>
      <c r="H689" s="118"/>
      <c r="I689" s="118"/>
      <c r="AF689" s="22"/>
      <c r="AG689" s="22"/>
      <c r="AH689" s="22"/>
      <c r="AI689" s="22"/>
      <c r="AJ689" s="22"/>
      <c r="AK689" s="23"/>
      <c r="AN689" s="24"/>
      <c r="AO689" s="24"/>
      <c r="AX689" s="25"/>
      <c r="BR689" s="25"/>
      <c r="CF689" s="27"/>
      <c r="CG689" s="27"/>
      <c r="CH689" s="27"/>
      <c r="CI689" s="27"/>
      <c r="CJ689" s="27"/>
      <c r="CK689" s="27"/>
    </row>
    <row r="690" ht="14.25" customHeight="1">
      <c r="A690" s="118"/>
      <c r="B690" s="118"/>
      <c r="C690" s="118"/>
      <c r="D690" s="119"/>
      <c r="E690" s="119"/>
      <c r="F690" s="118"/>
      <c r="G690" s="118"/>
      <c r="H690" s="118"/>
      <c r="I690" s="118"/>
      <c r="AF690" s="22"/>
      <c r="AG690" s="22"/>
      <c r="AH690" s="22"/>
      <c r="AI690" s="22"/>
      <c r="AJ690" s="22"/>
      <c r="AK690" s="23"/>
      <c r="AN690" s="24"/>
      <c r="AO690" s="24"/>
      <c r="AX690" s="25"/>
      <c r="BR690" s="25"/>
      <c r="CF690" s="27"/>
      <c r="CG690" s="27"/>
      <c r="CH690" s="27"/>
      <c r="CI690" s="27"/>
      <c r="CJ690" s="27"/>
      <c r="CK690" s="27"/>
    </row>
    <row r="691" ht="14.25" customHeight="1">
      <c r="A691" s="118"/>
      <c r="B691" s="118"/>
      <c r="C691" s="118"/>
      <c r="D691" s="119"/>
      <c r="E691" s="119"/>
      <c r="F691" s="118"/>
      <c r="G691" s="118"/>
      <c r="H691" s="118"/>
      <c r="I691" s="118"/>
      <c r="AF691" s="22"/>
      <c r="AG691" s="22"/>
      <c r="AH691" s="22"/>
      <c r="AI691" s="22"/>
      <c r="AJ691" s="22"/>
      <c r="AK691" s="23"/>
      <c r="AN691" s="24"/>
      <c r="AO691" s="24"/>
      <c r="AX691" s="25"/>
      <c r="BR691" s="25"/>
      <c r="CF691" s="27"/>
      <c r="CG691" s="27"/>
      <c r="CH691" s="27"/>
      <c r="CI691" s="27"/>
      <c r="CJ691" s="27"/>
      <c r="CK691" s="27"/>
    </row>
    <row r="692" ht="14.25" customHeight="1">
      <c r="A692" s="118"/>
      <c r="B692" s="118"/>
      <c r="C692" s="118"/>
      <c r="D692" s="119"/>
      <c r="E692" s="119"/>
      <c r="F692" s="118"/>
      <c r="G692" s="118"/>
      <c r="H692" s="118"/>
      <c r="I692" s="118"/>
      <c r="AF692" s="22"/>
      <c r="AG692" s="22"/>
      <c r="AH692" s="22"/>
      <c r="AI692" s="22"/>
      <c r="AJ692" s="22"/>
      <c r="AK692" s="23"/>
      <c r="AN692" s="24"/>
      <c r="AO692" s="24"/>
      <c r="AX692" s="25"/>
      <c r="BR692" s="25"/>
      <c r="CF692" s="27"/>
      <c r="CG692" s="27"/>
      <c r="CH692" s="27"/>
      <c r="CI692" s="27"/>
      <c r="CJ692" s="27"/>
      <c r="CK692" s="27"/>
    </row>
    <row r="693" ht="14.25" customHeight="1">
      <c r="A693" s="118"/>
      <c r="B693" s="118"/>
      <c r="C693" s="118"/>
      <c r="D693" s="119"/>
      <c r="E693" s="119"/>
      <c r="F693" s="118"/>
      <c r="G693" s="118"/>
      <c r="H693" s="118"/>
      <c r="I693" s="118"/>
      <c r="AF693" s="22"/>
      <c r="AG693" s="22"/>
      <c r="AH693" s="22"/>
      <c r="AI693" s="22"/>
      <c r="AJ693" s="22"/>
      <c r="AK693" s="23"/>
      <c r="AN693" s="24"/>
      <c r="AO693" s="24"/>
      <c r="AX693" s="25"/>
      <c r="BR693" s="25"/>
      <c r="CF693" s="27"/>
      <c r="CG693" s="27"/>
      <c r="CH693" s="27"/>
      <c r="CI693" s="27"/>
      <c r="CJ693" s="27"/>
      <c r="CK693" s="27"/>
    </row>
    <row r="694" ht="14.25" customHeight="1">
      <c r="A694" s="118"/>
      <c r="B694" s="118"/>
      <c r="C694" s="118"/>
      <c r="D694" s="119"/>
      <c r="E694" s="119"/>
      <c r="F694" s="118"/>
      <c r="G694" s="118"/>
      <c r="H694" s="118"/>
      <c r="I694" s="118"/>
      <c r="AF694" s="22"/>
      <c r="AG694" s="22"/>
      <c r="AH694" s="22"/>
      <c r="AI694" s="22"/>
      <c r="AJ694" s="22"/>
      <c r="AK694" s="23"/>
      <c r="AN694" s="24"/>
      <c r="AO694" s="24"/>
      <c r="AX694" s="25"/>
      <c r="BR694" s="25"/>
      <c r="CF694" s="27"/>
      <c r="CG694" s="27"/>
      <c r="CH694" s="27"/>
      <c r="CI694" s="27"/>
      <c r="CJ694" s="27"/>
      <c r="CK694" s="27"/>
    </row>
    <row r="695" ht="14.25" customHeight="1">
      <c r="A695" s="118"/>
      <c r="B695" s="118"/>
      <c r="C695" s="118"/>
      <c r="D695" s="119"/>
      <c r="E695" s="119"/>
      <c r="F695" s="118"/>
      <c r="G695" s="118"/>
      <c r="H695" s="118"/>
      <c r="I695" s="118"/>
      <c r="AF695" s="22"/>
      <c r="AG695" s="22"/>
      <c r="AH695" s="22"/>
      <c r="AI695" s="22"/>
      <c r="AJ695" s="22"/>
      <c r="AK695" s="23"/>
      <c r="AN695" s="24"/>
      <c r="AO695" s="24"/>
      <c r="AX695" s="25"/>
      <c r="BR695" s="25"/>
      <c r="CF695" s="27"/>
      <c r="CG695" s="27"/>
      <c r="CH695" s="27"/>
      <c r="CI695" s="27"/>
      <c r="CJ695" s="27"/>
      <c r="CK695" s="27"/>
    </row>
    <row r="696" ht="14.25" customHeight="1">
      <c r="A696" s="118"/>
      <c r="B696" s="118"/>
      <c r="C696" s="118"/>
      <c r="D696" s="119"/>
      <c r="E696" s="119"/>
      <c r="F696" s="118"/>
      <c r="G696" s="118"/>
      <c r="H696" s="118"/>
      <c r="I696" s="118"/>
      <c r="AF696" s="22"/>
      <c r="AG696" s="22"/>
      <c r="AH696" s="22"/>
      <c r="AI696" s="22"/>
      <c r="AJ696" s="22"/>
      <c r="AK696" s="23"/>
      <c r="AN696" s="24"/>
      <c r="AO696" s="24"/>
      <c r="AX696" s="25"/>
      <c r="BR696" s="25"/>
      <c r="CF696" s="27"/>
      <c r="CG696" s="27"/>
      <c r="CH696" s="27"/>
      <c r="CI696" s="27"/>
      <c r="CJ696" s="27"/>
      <c r="CK696" s="27"/>
    </row>
    <row r="697" ht="14.25" customHeight="1">
      <c r="A697" s="118"/>
      <c r="B697" s="118"/>
      <c r="C697" s="118"/>
      <c r="D697" s="119"/>
      <c r="E697" s="119"/>
      <c r="F697" s="118"/>
      <c r="G697" s="118"/>
      <c r="H697" s="118"/>
      <c r="I697" s="118"/>
      <c r="AF697" s="22"/>
      <c r="AG697" s="22"/>
      <c r="AH697" s="22"/>
      <c r="AI697" s="22"/>
      <c r="AJ697" s="22"/>
      <c r="AK697" s="23"/>
      <c r="AN697" s="24"/>
      <c r="AO697" s="24"/>
      <c r="AX697" s="25"/>
      <c r="BR697" s="25"/>
      <c r="CF697" s="27"/>
      <c r="CG697" s="27"/>
      <c r="CH697" s="27"/>
      <c r="CI697" s="27"/>
      <c r="CJ697" s="27"/>
      <c r="CK697" s="27"/>
    </row>
    <row r="698" ht="14.25" customHeight="1">
      <c r="A698" s="118"/>
      <c r="B698" s="118"/>
      <c r="C698" s="118"/>
      <c r="D698" s="119"/>
      <c r="E698" s="119"/>
      <c r="F698" s="118"/>
      <c r="G698" s="118"/>
      <c r="H698" s="118"/>
      <c r="I698" s="118"/>
      <c r="AF698" s="22"/>
      <c r="AG698" s="22"/>
      <c r="AH698" s="22"/>
      <c r="AI698" s="22"/>
      <c r="AJ698" s="22"/>
      <c r="AK698" s="23"/>
      <c r="AN698" s="24"/>
      <c r="AO698" s="24"/>
      <c r="AX698" s="25"/>
      <c r="BR698" s="25"/>
      <c r="CF698" s="27"/>
      <c r="CG698" s="27"/>
      <c r="CH698" s="27"/>
      <c r="CI698" s="27"/>
      <c r="CJ698" s="27"/>
      <c r="CK698" s="27"/>
    </row>
    <row r="699" ht="14.25" customHeight="1">
      <c r="A699" s="118"/>
      <c r="B699" s="118"/>
      <c r="C699" s="118"/>
      <c r="D699" s="119"/>
      <c r="E699" s="119"/>
      <c r="F699" s="118"/>
      <c r="G699" s="118"/>
      <c r="H699" s="118"/>
      <c r="I699" s="118"/>
      <c r="AF699" s="22"/>
      <c r="AG699" s="22"/>
      <c r="AH699" s="22"/>
      <c r="AI699" s="22"/>
      <c r="AJ699" s="22"/>
      <c r="AK699" s="23"/>
      <c r="AN699" s="24"/>
      <c r="AO699" s="24"/>
      <c r="AX699" s="25"/>
      <c r="BR699" s="25"/>
      <c r="CF699" s="27"/>
      <c r="CG699" s="27"/>
      <c r="CH699" s="27"/>
      <c r="CI699" s="27"/>
      <c r="CJ699" s="27"/>
      <c r="CK699" s="27"/>
    </row>
    <row r="700" ht="14.25" customHeight="1">
      <c r="A700" s="118"/>
      <c r="B700" s="118"/>
      <c r="C700" s="118"/>
      <c r="D700" s="119"/>
      <c r="E700" s="119"/>
      <c r="F700" s="118"/>
      <c r="G700" s="118"/>
      <c r="H700" s="118"/>
      <c r="I700" s="118"/>
      <c r="AF700" s="22"/>
      <c r="AG700" s="22"/>
      <c r="AH700" s="22"/>
      <c r="AI700" s="22"/>
      <c r="AJ700" s="22"/>
      <c r="AK700" s="23"/>
      <c r="AN700" s="24"/>
      <c r="AO700" s="24"/>
      <c r="AX700" s="25"/>
      <c r="BR700" s="25"/>
      <c r="CF700" s="27"/>
      <c r="CG700" s="27"/>
      <c r="CH700" s="27"/>
      <c r="CI700" s="27"/>
      <c r="CJ700" s="27"/>
      <c r="CK700" s="27"/>
    </row>
    <row r="701" ht="14.25" customHeight="1">
      <c r="A701" s="118"/>
      <c r="B701" s="118"/>
      <c r="C701" s="118"/>
      <c r="D701" s="119"/>
      <c r="E701" s="119"/>
      <c r="F701" s="118"/>
      <c r="G701" s="118"/>
      <c r="H701" s="118"/>
      <c r="I701" s="118"/>
      <c r="AF701" s="22"/>
      <c r="AG701" s="22"/>
      <c r="AH701" s="22"/>
      <c r="AI701" s="22"/>
      <c r="AJ701" s="22"/>
      <c r="AK701" s="23"/>
      <c r="AN701" s="24"/>
      <c r="AO701" s="24"/>
      <c r="AX701" s="25"/>
      <c r="BR701" s="25"/>
      <c r="CF701" s="27"/>
      <c r="CG701" s="27"/>
      <c r="CH701" s="27"/>
      <c r="CI701" s="27"/>
      <c r="CJ701" s="27"/>
      <c r="CK701" s="27"/>
    </row>
    <row r="702" ht="14.25" customHeight="1">
      <c r="A702" s="118"/>
      <c r="B702" s="118"/>
      <c r="C702" s="118"/>
      <c r="D702" s="119"/>
      <c r="E702" s="119"/>
      <c r="F702" s="118"/>
      <c r="G702" s="118"/>
      <c r="H702" s="118"/>
      <c r="I702" s="118"/>
      <c r="AF702" s="22"/>
      <c r="AG702" s="22"/>
      <c r="AH702" s="22"/>
      <c r="AI702" s="22"/>
      <c r="AJ702" s="22"/>
      <c r="AK702" s="23"/>
      <c r="AN702" s="24"/>
      <c r="AO702" s="24"/>
      <c r="AX702" s="25"/>
      <c r="BR702" s="25"/>
      <c r="CF702" s="27"/>
      <c r="CG702" s="27"/>
      <c r="CH702" s="27"/>
      <c r="CI702" s="27"/>
      <c r="CJ702" s="27"/>
      <c r="CK702" s="27"/>
    </row>
    <row r="703" ht="14.25" customHeight="1">
      <c r="A703" s="118"/>
      <c r="B703" s="118"/>
      <c r="C703" s="118"/>
      <c r="D703" s="119"/>
      <c r="E703" s="119"/>
      <c r="F703" s="118"/>
      <c r="G703" s="118"/>
      <c r="H703" s="118"/>
      <c r="I703" s="118"/>
      <c r="AF703" s="22"/>
      <c r="AG703" s="22"/>
      <c r="AH703" s="22"/>
      <c r="AI703" s="22"/>
      <c r="AJ703" s="22"/>
      <c r="AK703" s="23"/>
      <c r="AN703" s="24"/>
      <c r="AO703" s="24"/>
      <c r="AX703" s="25"/>
      <c r="BR703" s="25"/>
      <c r="CF703" s="27"/>
      <c r="CG703" s="27"/>
      <c r="CH703" s="27"/>
      <c r="CI703" s="27"/>
      <c r="CJ703" s="27"/>
      <c r="CK703" s="27"/>
    </row>
    <row r="704" ht="14.25" customHeight="1">
      <c r="A704" s="118"/>
      <c r="B704" s="118"/>
      <c r="C704" s="118"/>
      <c r="D704" s="119"/>
      <c r="E704" s="119"/>
      <c r="F704" s="118"/>
      <c r="G704" s="118"/>
      <c r="H704" s="118"/>
      <c r="I704" s="118"/>
      <c r="AF704" s="22"/>
      <c r="AG704" s="22"/>
      <c r="AH704" s="22"/>
      <c r="AI704" s="22"/>
      <c r="AJ704" s="22"/>
      <c r="AK704" s="23"/>
      <c r="AN704" s="24"/>
      <c r="AO704" s="24"/>
      <c r="AX704" s="25"/>
      <c r="BR704" s="25"/>
      <c r="CF704" s="27"/>
      <c r="CG704" s="27"/>
      <c r="CH704" s="27"/>
      <c r="CI704" s="27"/>
      <c r="CJ704" s="27"/>
      <c r="CK704" s="27"/>
    </row>
    <row r="705" ht="14.25" customHeight="1">
      <c r="A705" s="118"/>
      <c r="B705" s="118"/>
      <c r="C705" s="118"/>
      <c r="D705" s="119"/>
      <c r="E705" s="119"/>
      <c r="F705" s="118"/>
      <c r="G705" s="118"/>
      <c r="H705" s="118"/>
      <c r="I705" s="118"/>
      <c r="AF705" s="22"/>
      <c r="AG705" s="22"/>
      <c r="AH705" s="22"/>
      <c r="AI705" s="22"/>
      <c r="AJ705" s="22"/>
      <c r="AK705" s="23"/>
      <c r="AN705" s="24"/>
      <c r="AO705" s="24"/>
      <c r="AX705" s="25"/>
      <c r="BR705" s="25"/>
      <c r="CF705" s="27"/>
      <c r="CG705" s="27"/>
      <c r="CH705" s="27"/>
      <c r="CI705" s="27"/>
      <c r="CJ705" s="27"/>
      <c r="CK705" s="27"/>
    </row>
    <row r="706" ht="14.25" customHeight="1">
      <c r="A706" s="118"/>
      <c r="B706" s="118"/>
      <c r="C706" s="118"/>
      <c r="D706" s="119"/>
      <c r="E706" s="119"/>
      <c r="F706" s="118"/>
      <c r="G706" s="118"/>
      <c r="H706" s="118"/>
      <c r="I706" s="118"/>
      <c r="AF706" s="22"/>
      <c r="AG706" s="22"/>
      <c r="AH706" s="22"/>
      <c r="AI706" s="22"/>
      <c r="AJ706" s="22"/>
      <c r="AK706" s="23"/>
      <c r="AN706" s="24"/>
      <c r="AO706" s="24"/>
      <c r="AX706" s="25"/>
      <c r="BR706" s="25"/>
      <c r="CF706" s="27"/>
      <c r="CG706" s="27"/>
      <c r="CH706" s="27"/>
      <c r="CI706" s="27"/>
      <c r="CJ706" s="27"/>
      <c r="CK706" s="27"/>
    </row>
    <row r="707" ht="14.25" customHeight="1">
      <c r="A707" s="118"/>
      <c r="B707" s="118"/>
      <c r="C707" s="118"/>
      <c r="D707" s="119"/>
      <c r="E707" s="119"/>
      <c r="F707" s="118"/>
      <c r="G707" s="118"/>
      <c r="H707" s="118"/>
      <c r="I707" s="118"/>
      <c r="AF707" s="22"/>
      <c r="AG707" s="22"/>
      <c r="AH707" s="22"/>
      <c r="AI707" s="22"/>
      <c r="AJ707" s="22"/>
      <c r="AK707" s="23"/>
      <c r="AN707" s="24"/>
      <c r="AO707" s="24"/>
      <c r="AX707" s="25"/>
      <c r="BR707" s="25"/>
      <c r="CF707" s="27"/>
      <c r="CG707" s="27"/>
      <c r="CH707" s="27"/>
      <c r="CI707" s="27"/>
      <c r="CJ707" s="27"/>
      <c r="CK707" s="27"/>
    </row>
    <row r="708" ht="14.25" customHeight="1">
      <c r="A708" s="118"/>
      <c r="B708" s="118"/>
      <c r="C708" s="118"/>
      <c r="D708" s="119"/>
      <c r="E708" s="119"/>
      <c r="F708" s="118"/>
      <c r="G708" s="118"/>
      <c r="H708" s="118"/>
      <c r="I708" s="118"/>
      <c r="AF708" s="22"/>
      <c r="AG708" s="22"/>
      <c r="AH708" s="22"/>
      <c r="AI708" s="22"/>
      <c r="AJ708" s="22"/>
      <c r="AK708" s="23"/>
      <c r="AN708" s="24"/>
      <c r="AO708" s="24"/>
      <c r="AX708" s="25"/>
      <c r="BR708" s="25"/>
      <c r="CF708" s="27"/>
      <c r="CG708" s="27"/>
      <c r="CH708" s="27"/>
      <c r="CI708" s="27"/>
      <c r="CJ708" s="27"/>
      <c r="CK708" s="27"/>
    </row>
    <row r="709" ht="14.25" customHeight="1">
      <c r="A709" s="118"/>
      <c r="B709" s="118"/>
      <c r="C709" s="118"/>
      <c r="D709" s="119"/>
      <c r="E709" s="119"/>
      <c r="F709" s="118"/>
      <c r="G709" s="118"/>
      <c r="H709" s="118"/>
      <c r="I709" s="118"/>
      <c r="AF709" s="22"/>
      <c r="AG709" s="22"/>
      <c r="AH709" s="22"/>
      <c r="AI709" s="22"/>
      <c r="AJ709" s="22"/>
      <c r="AK709" s="23"/>
      <c r="AN709" s="24"/>
      <c r="AO709" s="24"/>
      <c r="AX709" s="25"/>
      <c r="BR709" s="25"/>
      <c r="CF709" s="27"/>
      <c r="CG709" s="27"/>
      <c r="CH709" s="27"/>
      <c r="CI709" s="27"/>
      <c r="CJ709" s="27"/>
      <c r="CK709" s="27"/>
    </row>
    <row r="710" ht="14.25" customHeight="1">
      <c r="A710" s="118"/>
      <c r="B710" s="118"/>
      <c r="C710" s="118"/>
      <c r="D710" s="119"/>
      <c r="E710" s="119"/>
      <c r="F710" s="118"/>
      <c r="G710" s="118"/>
      <c r="H710" s="118"/>
      <c r="I710" s="118"/>
      <c r="AF710" s="22"/>
      <c r="AG710" s="22"/>
      <c r="AH710" s="22"/>
      <c r="AI710" s="22"/>
      <c r="AJ710" s="22"/>
      <c r="AK710" s="23"/>
      <c r="AN710" s="24"/>
      <c r="AO710" s="24"/>
      <c r="AX710" s="25"/>
      <c r="BR710" s="25"/>
      <c r="CF710" s="27"/>
      <c r="CG710" s="27"/>
      <c r="CH710" s="27"/>
      <c r="CI710" s="27"/>
      <c r="CJ710" s="27"/>
      <c r="CK710" s="27"/>
    </row>
    <row r="711" ht="14.25" customHeight="1">
      <c r="A711" s="118"/>
      <c r="B711" s="118"/>
      <c r="C711" s="118"/>
      <c r="D711" s="119"/>
      <c r="E711" s="119"/>
      <c r="F711" s="118"/>
      <c r="G711" s="118"/>
      <c r="H711" s="118"/>
      <c r="I711" s="118"/>
      <c r="AF711" s="22"/>
      <c r="AG711" s="22"/>
      <c r="AH711" s="22"/>
      <c r="AI711" s="22"/>
      <c r="AJ711" s="22"/>
      <c r="AK711" s="23"/>
      <c r="AN711" s="24"/>
      <c r="AO711" s="24"/>
      <c r="AX711" s="25"/>
      <c r="BR711" s="25"/>
      <c r="CF711" s="27"/>
      <c r="CG711" s="27"/>
      <c r="CH711" s="27"/>
      <c r="CI711" s="27"/>
      <c r="CJ711" s="27"/>
      <c r="CK711" s="27"/>
    </row>
    <row r="712" ht="14.25" customHeight="1">
      <c r="A712" s="118"/>
      <c r="B712" s="118"/>
      <c r="C712" s="118"/>
      <c r="D712" s="119"/>
      <c r="E712" s="119"/>
      <c r="F712" s="118"/>
      <c r="G712" s="118"/>
      <c r="H712" s="118"/>
      <c r="I712" s="118"/>
      <c r="AF712" s="22"/>
      <c r="AG712" s="22"/>
      <c r="AH712" s="22"/>
      <c r="AI712" s="22"/>
      <c r="AJ712" s="22"/>
      <c r="AK712" s="23"/>
      <c r="AN712" s="24"/>
      <c r="AO712" s="24"/>
      <c r="AX712" s="25"/>
      <c r="BR712" s="25"/>
      <c r="CF712" s="27"/>
      <c r="CG712" s="27"/>
      <c r="CH712" s="27"/>
      <c r="CI712" s="27"/>
      <c r="CJ712" s="27"/>
      <c r="CK712" s="27"/>
    </row>
    <row r="713" ht="14.25" customHeight="1">
      <c r="A713" s="118"/>
      <c r="B713" s="118"/>
      <c r="C713" s="118"/>
      <c r="D713" s="119"/>
      <c r="E713" s="119"/>
      <c r="F713" s="118"/>
      <c r="G713" s="118"/>
      <c r="H713" s="118"/>
      <c r="I713" s="118"/>
      <c r="AF713" s="22"/>
      <c r="AG713" s="22"/>
      <c r="AH713" s="22"/>
      <c r="AI713" s="22"/>
      <c r="AJ713" s="22"/>
      <c r="AK713" s="23"/>
      <c r="AN713" s="24"/>
      <c r="AO713" s="24"/>
      <c r="AX713" s="25"/>
      <c r="BR713" s="25"/>
      <c r="CF713" s="27"/>
      <c r="CG713" s="27"/>
      <c r="CH713" s="27"/>
      <c r="CI713" s="27"/>
      <c r="CJ713" s="27"/>
      <c r="CK713" s="27"/>
    </row>
    <row r="714" ht="14.25" customHeight="1">
      <c r="A714" s="118"/>
      <c r="B714" s="118"/>
      <c r="C714" s="118"/>
      <c r="D714" s="119"/>
      <c r="E714" s="119"/>
      <c r="F714" s="118"/>
      <c r="G714" s="118"/>
      <c r="H714" s="118"/>
      <c r="I714" s="118"/>
      <c r="AF714" s="22"/>
      <c r="AG714" s="22"/>
      <c r="AH714" s="22"/>
      <c r="AI714" s="22"/>
      <c r="AJ714" s="22"/>
      <c r="AK714" s="23"/>
      <c r="AN714" s="24"/>
      <c r="AO714" s="24"/>
      <c r="AX714" s="25"/>
      <c r="BR714" s="25"/>
      <c r="CF714" s="27"/>
      <c r="CG714" s="27"/>
      <c r="CH714" s="27"/>
      <c r="CI714" s="27"/>
      <c r="CJ714" s="27"/>
      <c r="CK714" s="27"/>
    </row>
    <row r="715" ht="14.25" customHeight="1">
      <c r="A715" s="118"/>
      <c r="B715" s="118"/>
      <c r="C715" s="118"/>
      <c r="D715" s="119"/>
      <c r="E715" s="119"/>
      <c r="F715" s="118"/>
      <c r="G715" s="118"/>
      <c r="H715" s="118"/>
      <c r="I715" s="118"/>
      <c r="AF715" s="22"/>
      <c r="AG715" s="22"/>
      <c r="AH715" s="22"/>
      <c r="AI715" s="22"/>
      <c r="AJ715" s="22"/>
      <c r="AK715" s="23"/>
      <c r="AN715" s="24"/>
      <c r="AO715" s="24"/>
      <c r="AX715" s="25"/>
      <c r="BR715" s="25"/>
      <c r="CF715" s="27"/>
      <c r="CG715" s="27"/>
      <c r="CH715" s="27"/>
      <c r="CI715" s="27"/>
      <c r="CJ715" s="27"/>
      <c r="CK715" s="27"/>
    </row>
    <row r="716" ht="14.25" customHeight="1">
      <c r="A716" s="118"/>
      <c r="B716" s="118"/>
      <c r="C716" s="118"/>
      <c r="D716" s="119"/>
      <c r="E716" s="119"/>
      <c r="F716" s="118"/>
      <c r="G716" s="118"/>
      <c r="H716" s="118"/>
      <c r="I716" s="118"/>
      <c r="AF716" s="22"/>
      <c r="AG716" s="22"/>
      <c r="AH716" s="22"/>
      <c r="AI716" s="22"/>
      <c r="AJ716" s="22"/>
      <c r="AK716" s="23"/>
      <c r="AN716" s="24"/>
      <c r="AO716" s="24"/>
      <c r="AX716" s="25"/>
      <c r="BR716" s="25"/>
      <c r="CF716" s="27"/>
      <c r="CG716" s="27"/>
      <c r="CH716" s="27"/>
      <c r="CI716" s="27"/>
      <c r="CJ716" s="27"/>
      <c r="CK716" s="27"/>
    </row>
    <row r="717" ht="14.25" customHeight="1">
      <c r="A717" s="118"/>
      <c r="B717" s="118"/>
      <c r="C717" s="118"/>
      <c r="D717" s="119"/>
      <c r="E717" s="119"/>
      <c r="F717" s="118"/>
      <c r="G717" s="118"/>
      <c r="H717" s="118"/>
      <c r="I717" s="118"/>
      <c r="AF717" s="22"/>
      <c r="AG717" s="22"/>
      <c r="AH717" s="22"/>
      <c r="AI717" s="22"/>
      <c r="AJ717" s="22"/>
      <c r="AK717" s="23"/>
      <c r="AN717" s="24"/>
      <c r="AO717" s="24"/>
      <c r="AX717" s="25"/>
      <c r="BR717" s="25"/>
      <c r="CF717" s="27"/>
      <c r="CG717" s="27"/>
      <c r="CH717" s="27"/>
      <c r="CI717" s="27"/>
      <c r="CJ717" s="27"/>
      <c r="CK717" s="27"/>
    </row>
    <row r="718" ht="14.25" customHeight="1">
      <c r="A718" s="118"/>
      <c r="B718" s="118"/>
      <c r="C718" s="118"/>
      <c r="D718" s="119"/>
      <c r="E718" s="119"/>
      <c r="F718" s="118"/>
      <c r="G718" s="118"/>
      <c r="H718" s="118"/>
      <c r="I718" s="118"/>
      <c r="AF718" s="22"/>
      <c r="AG718" s="22"/>
      <c r="AH718" s="22"/>
      <c r="AI718" s="22"/>
      <c r="AJ718" s="22"/>
      <c r="AK718" s="23"/>
      <c r="AN718" s="24"/>
      <c r="AO718" s="24"/>
      <c r="AX718" s="25"/>
      <c r="BR718" s="25"/>
      <c r="CF718" s="27"/>
      <c r="CG718" s="27"/>
      <c r="CH718" s="27"/>
      <c r="CI718" s="27"/>
      <c r="CJ718" s="27"/>
      <c r="CK718" s="27"/>
    </row>
    <row r="719" ht="14.25" customHeight="1">
      <c r="A719" s="118"/>
      <c r="B719" s="118"/>
      <c r="C719" s="118"/>
      <c r="D719" s="119"/>
      <c r="E719" s="119"/>
      <c r="F719" s="118"/>
      <c r="G719" s="118"/>
      <c r="H719" s="118"/>
      <c r="I719" s="118"/>
      <c r="AF719" s="22"/>
      <c r="AG719" s="22"/>
      <c r="AH719" s="22"/>
      <c r="AI719" s="22"/>
      <c r="AJ719" s="22"/>
      <c r="AK719" s="23"/>
      <c r="AN719" s="24"/>
      <c r="AO719" s="24"/>
      <c r="AX719" s="25"/>
      <c r="BR719" s="25"/>
      <c r="CF719" s="27"/>
      <c r="CG719" s="27"/>
      <c r="CH719" s="27"/>
      <c r="CI719" s="27"/>
      <c r="CJ719" s="27"/>
      <c r="CK719" s="27"/>
    </row>
    <row r="720" ht="14.25" customHeight="1">
      <c r="A720" s="118"/>
      <c r="B720" s="118"/>
      <c r="C720" s="118"/>
      <c r="D720" s="119"/>
      <c r="E720" s="119"/>
      <c r="F720" s="118"/>
      <c r="G720" s="118"/>
      <c r="H720" s="118"/>
      <c r="I720" s="118"/>
      <c r="AF720" s="22"/>
      <c r="AG720" s="22"/>
      <c r="AH720" s="22"/>
      <c r="AI720" s="22"/>
      <c r="AJ720" s="22"/>
      <c r="AK720" s="23"/>
      <c r="AN720" s="24"/>
      <c r="AO720" s="24"/>
      <c r="AX720" s="25"/>
      <c r="BR720" s="25"/>
      <c r="CF720" s="27"/>
      <c r="CG720" s="27"/>
      <c r="CH720" s="27"/>
      <c r="CI720" s="27"/>
      <c r="CJ720" s="27"/>
      <c r="CK720" s="27"/>
    </row>
    <row r="721" ht="14.25" customHeight="1">
      <c r="A721" s="118"/>
      <c r="B721" s="118"/>
      <c r="C721" s="118"/>
      <c r="D721" s="119"/>
      <c r="E721" s="119"/>
      <c r="F721" s="118"/>
      <c r="G721" s="118"/>
      <c r="H721" s="118"/>
      <c r="I721" s="118"/>
      <c r="AF721" s="22"/>
      <c r="AG721" s="22"/>
      <c r="AH721" s="22"/>
      <c r="AI721" s="22"/>
      <c r="AJ721" s="22"/>
      <c r="AK721" s="23"/>
      <c r="AN721" s="24"/>
      <c r="AO721" s="24"/>
      <c r="AX721" s="25"/>
      <c r="BR721" s="25"/>
      <c r="CF721" s="27"/>
      <c r="CG721" s="27"/>
      <c r="CH721" s="27"/>
      <c r="CI721" s="27"/>
      <c r="CJ721" s="27"/>
      <c r="CK721" s="27"/>
    </row>
    <row r="722" ht="14.25" customHeight="1">
      <c r="A722" s="118"/>
      <c r="B722" s="118"/>
      <c r="C722" s="118"/>
      <c r="D722" s="119"/>
      <c r="E722" s="119"/>
      <c r="F722" s="118"/>
      <c r="G722" s="118"/>
      <c r="H722" s="118"/>
      <c r="I722" s="118"/>
      <c r="AF722" s="22"/>
      <c r="AG722" s="22"/>
      <c r="AH722" s="22"/>
      <c r="AI722" s="22"/>
      <c r="AJ722" s="22"/>
      <c r="AK722" s="23"/>
      <c r="AN722" s="24"/>
      <c r="AO722" s="24"/>
      <c r="AX722" s="25"/>
      <c r="BR722" s="25"/>
      <c r="CF722" s="27"/>
      <c r="CG722" s="27"/>
      <c r="CH722" s="27"/>
      <c r="CI722" s="27"/>
      <c r="CJ722" s="27"/>
      <c r="CK722" s="27"/>
    </row>
    <row r="723" ht="14.25" customHeight="1">
      <c r="A723" s="118"/>
      <c r="B723" s="118"/>
      <c r="C723" s="118"/>
      <c r="D723" s="119"/>
      <c r="E723" s="119"/>
      <c r="F723" s="118"/>
      <c r="G723" s="118"/>
      <c r="H723" s="118"/>
      <c r="I723" s="118"/>
      <c r="AF723" s="22"/>
      <c r="AG723" s="22"/>
      <c r="AH723" s="22"/>
      <c r="AI723" s="22"/>
      <c r="AJ723" s="22"/>
      <c r="AK723" s="23"/>
      <c r="AN723" s="24"/>
      <c r="AO723" s="24"/>
      <c r="AX723" s="25"/>
      <c r="BR723" s="25"/>
      <c r="CF723" s="27"/>
      <c r="CG723" s="27"/>
      <c r="CH723" s="27"/>
      <c r="CI723" s="27"/>
      <c r="CJ723" s="27"/>
      <c r="CK723" s="27"/>
    </row>
    <row r="724" ht="14.25" customHeight="1">
      <c r="A724" s="118"/>
      <c r="B724" s="118"/>
      <c r="C724" s="118"/>
      <c r="D724" s="119"/>
      <c r="E724" s="119"/>
      <c r="F724" s="118"/>
      <c r="G724" s="118"/>
      <c r="H724" s="118"/>
      <c r="I724" s="118"/>
      <c r="AF724" s="22"/>
      <c r="AG724" s="22"/>
      <c r="AH724" s="22"/>
      <c r="AI724" s="22"/>
      <c r="AJ724" s="22"/>
      <c r="AK724" s="23"/>
      <c r="AN724" s="24"/>
      <c r="AO724" s="24"/>
      <c r="AX724" s="25"/>
      <c r="BR724" s="25"/>
      <c r="CF724" s="27"/>
      <c r="CG724" s="27"/>
      <c r="CH724" s="27"/>
      <c r="CI724" s="27"/>
      <c r="CJ724" s="27"/>
      <c r="CK724" s="27"/>
    </row>
    <row r="725" ht="14.25" customHeight="1">
      <c r="A725" s="118"/>
      <c r="B725" s="118"/>
      <c r="C725" s="118"/>
      <c r="D725" s="119"/>
      <c r="E725" s="119"/>
      <c r="F725" s="118"/>
      <c r="G725" s="118"/>
      <c r="H725" s="118"/>
      <c r="I725" s="118"/>
      <c r="AF725" s="22"/>
      <c r="AG725" s="22"/>
      <c r="AH725" s="22"/>
      <c r="AI725" s="22"/>
      <c r="AJ725" s="22"/>
      <c r="AK725" s="23"/>
      <c r="AN725" s="24"/>
      <c r="AO725" s="24"/>
      <c r="AX725" s="25"/>
      <c r="BR725" s="25"/>
      <c r="CF725" s="27"/>
      <c r="CG725" s="27"/>
      <c r="CH725" s="27"/>
      <c r="CI725" s="27"/>
      <c r="CJ725" s="27"/>
      <c r="CK725" s="27"/>
    </row>
    <row r="726" ht="14.25" customHeight="1">
      <c r="A726" s="118"/>
      <c r="B726" s="118"/>
      <c r="C726" s="118"/>
      <c r="D726" s="119"/>
      <c r="E726" s="119"/>
      <c r="F726" s="118"/>
      <c r="G726" s="118"/>
      <c r="H726" s="118"/>
      <c r="I726" s="118"/>
      <c r="AF726" s="22"/>
      <c r="AG726" s="22"/>
      <c r="AH726" s="22"/>
      <c r="AI726" s="22"/>
      <c r="AJ726" s="22"/>
      <c r="AK726" s="23"/>
      <c r="AN726" s="24"/>
      <c r="AO726" s="24"/>
      <c r="AX726" s="25"/>
      <c r="BR726" s="25"/>
      <c r="CF726" s="27"/>
      <c r="CG726" s="27"/>
      <c r="CH726" s="27"/>
      <c r="CI726" s="27"/>
      <c r="CJ726" s="27"/>
      <c r="CK726" s="27"/>
    </row>
    <row r="727" ht="14.25" customHeight="1">
      <c r="A727" s="118"/>
      <c r="B727" s="118"/>
      <c r="C727" s="118"/>
      <c r="D727" s="119"/>
      <c r="E727" s="119"/>
      <c r="F727" s="118"/>
      <c r="G727" s="118"/>
      <c r="H727" s="118"/>
      <c r="I727" s="118"/>
      <c r="AF727" s="22"/>
      <c r="AG727" s="22"/>
      <c r="AH727" s="22"/>
      <c r="AI727" s="22"/>
      <c r="AJ727" s="22"/>
      <c r="AK727" s="23"/>
      <c r="AN727" s="24"/>
      <c r="AO727" s="24"/>
      <c r="AX727" s="25"/>
      <c r="BR727" s="25"/>
      <c r="CF727" s="27"/>
      <c r="CG727" s="27"/>
      <c r="CH727" s="27"/>
      <c r="CI727" s="27"/>
      <c r="CJ727" s="27"/>
      <c r="CK727" s="27"/>
    </row>
    <row r="728" ht="14.25" customHeight="1">
      <c r="A728" s="118"/>
      <c r="B728" s="118"/>
      <c r="C728" s="118"/>
      <c r="D728" s="119"/>
      <c r="E728" s="119"/>
      <c r="F728" s="118"/>
      <c r="G728" s="118"/>
      <c r="H728" s="118"/>
      <c r="I728" s="118"/>
      <c r="AF728" s="22"/>
      <c r="AG728" s="22"/>
      <c r="AH728" s="22"/>
      <c r="AI728" s="22"/>
      <c r="AJ728" s="22"/>
      <c r="AK728" s="23"/>
      <c r="AN728" s="24"/>
      <c r="AO728" s="24"/>
      <c r="AX728" s="25"/>
      <c r="BR728" s="25"/>
      <c r="CF728" s="27"/>
      <c r="CG728" s="27"/>
      <c r="CH728" s="27"/>
      <c r="CI728" s="27"/>
      <c r="CJ728" s="27"/>
      <c r="CK728" s="27"/>
    </row>
    <row r="729" ht="14.25" customHeight="1">
      <c r="A729" s="118"/>
      <c r="B729" s="118"/>
      <c r="C729" s="118"/>
      <c r="D729" s="119"/>
      <c r="E729" s="119"/>
      <c r="F729" s="118"/>
      <c r="G729" s="118"/>
      <c r="H729" s="118"/>
      <c r="I729" s="118"/>
      <c r="AF729" s="22"/>
      <c r="AG729" s="22"/>
      <c r="AH729" s="22"/>
      <c r="AI729" s="22"/>
      <c r="AJ729" s="22"/>
      <c r="AK729" s="23"/>
      <c r="AN729" s="24"/>
      <c r="AO729" s="24"/>
      <c r="AX729" s="25"/>
      <c r="BR729" s="25"/>
      <c r="CF729" s="27"/>
      <c r="CG729" s="27"/>
      <c r="CH729" s="27"/>
      <c r="CI729" s="27"/>
      <c r="CJ729" s="27"/>
      <c r="CK729" s="27"/>
    </row>
    <row r="730" ht="14.25" customHeight="1">
      <c r="A730" s="118"/>
      <c r="B730" s="118"/>
      <c r="C730" s="118"/>
      <c r="D730" s="119"/>
      <c r="E730" s="119"/>
      <c r="F730" s="118"/>
      <c r="G730" s="118"/>
      <c r="H730" s="118"/>
      <c r="I730" s="118"/>
      <c r="AF730" s="22"/>
      <c r="AG730" s="22"/>
      <c r="AH730" s="22"/>
      <c r="AI730" s="22"/>
      <c r="AJ730" s="22"/>
      <c r="AK730" s="23"/>
      <c r="AN730" s="24"/>
      <c r="AO730" s="24"/>
      <c r="AX730" s="25"/>
      <c r="BR730" s="25"/>
      <c r="CF730" s="27"/>
      <c r="CG730" s="27"/>
      <c r="CH730" s="27"/>
      <c r="CI730" s="27"/>
      <c r="CJ730" s="27"/>
      <c r="CK730" s="27"/>
    </row>
    <row r="731" ht="14.25" customHeight="1">
      <c r="A731" s="118"/>
      <c r="B731" s="118"/>
      <c r="C731" s="118"/>
      <c r="D731" s="119"/>
      <c r="E731" s="119"/>
      <c r="F731" s="118"/>
      <c r="G731" s="118"/>
      <c r="H731" s="118"/>
      <c r="I731" s="118"/>
      <c r="AF731" s="22"/>
      <c r="AG731" s="22"/>
      <c r="AH731" s="22"/>
      <c r="AI731" s="22"/>
      <c r="AJ731" s="22"/>
      <c r="AK731" s="23"/>
      <c r="AN731" s="24"/>
      <c r="AO731" s="24"/>
      <c r="AX731" s="25"/>
      <c r="BR731" s="25"/>
      <c r="CF731" s="27"/>
      <c r="CG731" s="27"/>
      <c r="CH731" s="27"/>
      <c r="CI731" s="27"/>
      <c r="CJ731" s="27"/>
      <c r="CK731" s="27"/>
    </row>
    <row r="732" ht="14.25" customHeight="1">
      <c r="A732" s="118"/>
      <c r="B732" s="118"/>
      <c r="C732" s="118"/>
      <c r="D732" s="119"/>
      <c r="E732" s="119"/>
      <c r="F732" s="118"/>
      <c r="G732" s="118"/>
      <c r="H732" s="118"/>
      <c r="I732" s="118"/>
      <c r="AF732" s="22"/>
      <c r="AG732" s="22"/>
      <c r="AH732" s="22"/>
      <c r="AI732" s="22"/>
      <c r="AJ732" s="22"/>
      <c r="AK732" s="23"/>
      <c r="AN732" s="24"/>
      <c r="AO732" s="24"/>
      <c r="AX732" s="25"/>
      <c r="BR732" s="25"/>
      <c r="CF732" s="27"/>
      <c r="CG732" s="27"/>
      <c r="CH732" s="27"/>
      <c r="CI732" s="27"/>
      <c r="CJ732" s="27"/>
      <c r="CK732" s="27"/>
    </row>
    <row r="733" ht="14.25" customHeight="1">
      <c r="A733" s="118"/>
      <c r="B733" s="118"/>
      <c r="C733" s="118"/>
      <c r="D733" s="119"/>
      <c r="E733" s="119"/>
      <c r="F733" s="118"/>
      <c r="G733" s="118"/>
      <c r="H733" s="118"/>
      <c r="I733" s="118"/>
      <c r="AF733" s="22"/>
      <c r="AG733" s="22"/>
      <c r="AH733" s="22"/>
      <c r="AI733" s="22"/>
      <c r="AJ733" s="22"/>
      <c r="AK733" s="23"/>
      <c r="AN733" s="24"/>
      <c r="AO733" s="24"/>
      <c r="AX733" s="25"/>
      <c r="BR733" s="25"/>
      <c r="CF733" s="27"/>
      <c r="CG733" s="27"/>
      <c r="CH733" s="27"/>
      <c r="CI733" s="27"/>
      <c r="CJ733" s="27"/>
      <c r="CK733" s="27"/>
    </row>
    <row r="734" ht="14.25" customHeight="1">
      <c r="A734" s="118"/>
      <c r="B734" s="118"/>
      <c r="C734" s="118"/>
      <c r="D734" s="119"/>
      <c r="E734" s="119"/>
      <c r="F734" s="118"/>
      <c r="G734" s="118"/>
      <c r="H734" s="118"/>
      <c r="I734" s="118"/>
      <c r="AF734" s="22"/>
      <c r="AG734" s="22"/>
      <c r="AH734" s="22"/>
      <c r="AI734" s="22"/>
      <c r="AJ734" s="22"/>
      <c r="AK734" s="23"/>
      <c r="AN734" s="24"/>
      <c r="AO734" s="24"/>
      <c r="AX734" s="25"/>
      <c r="BR734" s="25"/>
      <c r="CF734" s="27"/>
      <c r="CG734" s="27"/>
      <c r="CH734" s="27"/>
      <c r="CI734" s="27"/>
      <c r="CJ734" s="27"/>
      <c r="CK734" s="27"/>
    </row>
    <row r="735" ht="14.25" customHeight="1">
      <c r="A735" s="118"/>
      <c r="B735" s="118"/>
      <c r="C735" s="118"/>
      <c r="D735" s="119"/>
      <c r="E735" s="119"/>
      <c r="F735" s="118"/>
      <c r="G735" s="118"/>
      <c r="H735" s="118"/>
      <c r="I735" s="118"/>
      <c r="AF735" s="22"/>
      <c r="AG735" s="22"/>
      <c r="AH735" s="22"/>
      <c r="AI735" s="22"/>
      <c r="AJ735" s="22"/>
      <c r="AK735" s="23"/>
      <c r="AN735" s="24"/>
      <c r="AO735" s="24"/>
      <c r="AX735" s="25"/>
      <c r="BR735" s="25"/>
      <c r="CF735" s="27"/>
      <c r="CG735" s="27"/>
      <c r="CH735" s="27"/>
      <c r="CI735" s="27"/>
      <c r="CJ735" s="27"/>
      <c r="CK735" s="27"/>
    </row>
    <row r="736" ht="14.25" customHeight="1">
      <c r="A736" s="118"/>
      <c r="B736" s="118"/>
      <c r="C736" s="118"/>
      <c r="D736" s="119"/>
      <c r="E736" s="119"/>
      <c r="F736" s="118"/>
      <c r="G736" s="118"/>
      <c r="H736" s="118"/>
      <c r="I736" s="118"/>
      <c r="AF736" s="22"/>
      <c r="AG736" s="22"/>
      <c r="AH736" s="22"/>
      <c r="AI736" s="22"/>
      <c r="AJ736" s="22"/>
      <c r="AK736" s="23"/>
      <c r="AN736" s="24"/>
      <c r="AO736" s="24"/>
      <c r="AX736" s="25"/>
      <c r="BR736" s="25"/>
      <c r="CF736" s="27"/>
      <c r="CG736" s="27"/>
      <c r="CH736" s="27"/>
      <c r="CI736" s="27"/>
      <c r="CJ736" s="27"/>
      <c r="CK736" s="27"/>
    </row>
    <row r="737" ht="14.25" customHeight="1">
      <c r="A737" s="118"/>
      <c r="B737" s="118"/>
      <c r="C737" s="118"/>
      <c r="D737" s="119"/>
      <c r="E737" s="119"/>
      <c r="F737" s="118"/>
      <c r="G737" s="118"/>
      <c r="H737" s="118"/>
      <c r="I737" s="118"/>
      <c r="AF737" s="22"/>
      <c r="AG737" s="22"/>
      <c r="AH737" s="22"/>
      <c r="AI737" s="22"/>
      <c r="AJ737" s="22"/>
      <c r="AK737" s="23"/>
      <c r="AN737" s="24"/>
      <c r="AO737" s="24"/>
      <c r="AX737" s="25"/>
      <c r="BR737" s="25"/>
      <c r="CF737" s="27"/>
      <c r="CG737" s="27"/>
      <c r="CH737" s="27"/>
      <c r="CI737" s="27"/>
      <c r="CJ737" s="27"/>
      <c r="CK737" s="27"/>
    </row>
    <row r="738" ht="14.25" customHeight="1">
      <c r="A738" s="118"/>
      <c r="B738" s="118"/>
      <c r="C738" s="118"/>
      <c r="D738" s="119"/>
      <c r="E738" s="119"/>
      <c r="F738" s="118"/>
      <c r="G738" s="118"/>
      <c r="H738" s="118"/>
      <c r="I738" s="118"/>
      <c r="AF738" s="22"/>
      <c r="AG738" s="22"/>
      <c r="AH738" s="22"/>
      <c r="AI738" s="22"/>
      <c r="AJ738" s="22"/>
      <c r="AK738" s="23"/>
      <c r="AN738" s="24"/>
      <c r="AO738" s="24"/>
      <c r="AX738" s="25"/>
      <c r="BR738" s="25"/>
      <c r="CF738" s="27"/>
      <c r="CG738" s="27"/>
      <c r="CH738" s="27"/>
      <c r="CI738" s="27"/>
      <c r="CJ738" s="27"/>
      <c r="CK738" s="27"/>
    </row>
    <row r="739" ht="14.25" customHeight="1">
      <c r="A739" s="118"/>
      <c r="B739" s="118"/>
      <c r="C739" s="118"/>
      <c r="D739" s="119"/>
      <c r="E739" s="119"/>
      <c r="F739" s="118"/>
      <c r="G739" s="118"/>
      <c r="H739" s="118"/>
      <c r="I739" s="118"/>
      <c r="AF739" s="22"/>
      <c r="AG739" s="22"/>
      <c r="AH739" s="22"/>
      <c r="AI739" s="22"/>
      <c r="AJ739" s="22"/>
      <c r="AK739" s="23"/>
      <c r="AN739" s="24"/>
      <c r="AO739" s="24"/>
      <c r="AX739" s="25"/>
      <c r="BR739" s="25"/>
      <c r="CF739" s="27"/>
      <c r="CG739" s="27"/>
      <c r="CH739" s="27"/>
      <c r="CI739" s="27"/>
      <c r="CJ739" s="27"/>
      <c r="CK739" s="27"/>
    </row>
    <row r="740" ht="14.25" customHeight="1">
      <c r="A740" s="118"/>
      <c r="B740" s="118"/>
      <c r="C740" s="118"/>
      <c r="D740" s="119"/>
      <c r="E740" s="119"/>
      <c r="F740" s="118"/>
      <c r="G740" s="118"/>
      <c r="H740" s="118"/>
      <c r="I740" s="118"/>
      <c r="AF740" s="22"/>
      <c r="AG740" s="22"/>
      <c r="AH740" s="22"/>
      <c r="AI740" s="22"/>
      <c r="AJ740" s="22"/>
      <c r="AK740" s="23"/>
      <c r="AN740" s="24"/>
      <c r="AO740" s="24"/>
      <c r="AX740" s="25"/>
      <c r="BR740" s="25"/>
      <c r="CF740" s="27"/>
      <c r="CG740" s="27"/>
      <c r="CH740" s="27"/>
      <c r="CI740" s="27"/>
      <c r="CJ740" s="27"/>
      <c r="CK740" s="27"/>
    </row>
    <row r="741" ht="14.25" customHeight="1">
      <c r="A741" s="118"/>
      <c r="B741" s="118"/>
      <c r="C741" s="118"/>
      <c r="D741" s="119"/>
      <c r="E741" s="119"/>
      <c r="F741" s="118"/>
      <c r="G741" s="118"/>
      <c r="H741" s="118"/>
      <c r="I741" s="118"/>
      <c r="AF741" s="22"/>
      <c r="AG741" s="22"/>
      <c r="AH741" s="22"/>
      <c r="AI741" s="22"/>
      <c r="AJ741" s="22"/>
      <c r="AK741" s="23"/>
      <c r="AN741" s="24"/>
      <c r="AO741" s="24"/>
      <c r="AX741" s="25"/>
      <c r="BR741" s="25"/>
      <c r="CF741" s="27"/>
      <c r="CG741" s="27"/>
      <c r="CH741" s="27"/>
      <c r="CI741" s="27"/>
      <c r="CJ741" s="27"/>
      <c r="CK741" s="27"/>
    </row>
    <row r="742" ht="14.25" customHeight="1">
      <c r="A742" s="118"/>
      <c r="B742" s="118"/>
      <c r="C742" s="118"/>
      <c r="D742" s="119"/>
      <c r="E742" s="119"/>
      <c r="F742" s="118"/>
      <c r="G742" s="118"/>
      <c r="H742" s="118"/>
      <c r="I742" s="118"/>
      <c r="AF742" s="22"/>
      <c r="AG742" s="22"/>
      <c r="AH742" s="22"/>
      <c r="AI742" s="22"/>
      <c r="AJ742" s="22"/>
      <c r="AK742" s="23"/>
      <c r="AN742" s="24"/>
      <c r="AO742" s="24"/>
      <c r="AX742" s="25"/>
      <c r="BR742" s="25"/>
      <c r="CF742" s="27"/>
      <c r="CG742" s="27"/>
      <c r="CH742" s="27"/>
      <c r="CI742" s="27"/>
      <c r="CJ742" s="27"/>
      <c r="CK742" s="27"/>
    </row>
    <row r="743" ht="14.25" customHeight="1">
      <c r="A743" s="118"/>
      <c r="B743" s="118"/>
      <c r="C743" s="118"/>
      <c r="D743" s="119"/>
      <c r="E743" s="119"/>
      <c r="F743" s="118"/>
      <c r="G743" s="118"/>
      <c r="H743" s="118"/>
      <c r="I743" s="118"/>
      <c r="AF743" s="22"/>
      <c r="AG743" s="22"/>
      <c r="AH743" s="22"/>
      <c r="AI743" s="22"/>
      <c r="AJ743" s="22"/>
      <c r="AK743" s="23"/>
      <c r="AN743" s="24"/>
      <c r="AO743" s="24"/>
      <c r="AX743" s="25"/>
      <c r="BR743" s="25"/>
      <c r="CF743" s="27"/>
      <c r="CG743" s="27"/>
      <c r="CH743" s="27"/>
      <c r="CI743" s="27"/>
      <c r="CJ743" s="27"/>
      <c r="CK743" s="27"/>
    </row>
    <row r="744" ht="14.25" customHeight="1">
      <c r="A744" s="118"/>
      <c r="B744" s="118"/>
      <c r="C744" s="118"/>
      <c r="D744" s="119"/>
      <c r="E744" s="119"/>
      <c r="F744" s="118"/>
      <c r="G744" s="118"/>
      <c r="H744" s="118"/>
      <c r="I744" s="118"/>
      <c r="AF744" s="22"/>
      <c r="AG744" s="22"/>
      <c r="AH744" s="22"/>
      <c r="AI744" s="22"/>
      <c r="AJ744" s="22"/>
      <c r="AK744" s="23"/>
      <c r="AN744" s="24"/>
      <c r="AO744" s="24"/>
      <c r="AX744" s="25"/>
      <c r="BR744" s="25"/>
      <c r="CF744" s="27"/>
      <c r="CG744" s="27"/>
      <c r="CH744" s="27"/>
      <c r="CI744" s="27"/>
      <c r="CJ744" s="27"/>
      <c r="CK744" s="27"/>
    </row>
    <row r="745" ht="14.25" customHeight="1">
      <c r="A745" s="118"/>
      <c r="B745" s="118"/>
      <c r="C745" s="118"/>
      <c r="D745" s="119"/>
      <c r="E745" s="119"/>
      <c r="F745" s="118"/>
      <c r="G745" s="118"/>
      <c r="H745" s="118"/>
      <c r="I745" s="118"/>
      <c r="AF745" s="22"/>
      <c r="AG745" s="22"/>
      <c r="AH745" s="22"/>
      <c r="AI745" s="22"/>
      <c r="AJ745" s="22"/>
      <c r="AK745" s="23"/>
      <c r="AN745" s="24"/>
      <c r="AO745" s="24"/>
      <c r="AX745" s="25"/>
      <c r="BR745" s="25"/>
      <c r="CF745" s="27"/>
      <c r="CG745" s="27"/>
      <c r="CH745" s="27"/>
      <c r="CI745" s="27"/>
      <c r="CJ745" s="27"/>
      <c r="CK745" s="27"/>
    </row>
    <row r="746" ht="14.25" customHeight="1">
      <c r="A746" s="118"/>
      <c r="B746" s="118"/>
      <c r="C746" s="118"/>
      <c r="D746" s="119"/>
      <c r="E746" s="119"/>
      <c r="F746" s="118"/>
      <c r="G746" s="118"/>
      <c r="H746" s="118"/>
      <c r="I746" s="118"/>
      <c r="AF746" s="22"/>
      <c r="AG746" s="22"/>
      <c r="AH746" s="22"/>
      <c r="AI746" s="22"/>
      <c r="AJ746" s="22"/>
      <c r="AK746" s="23"/>
      <c r="AN746" s="24"/>
      <c r="AO746" s="24"/>
      <c r="AX746" s="25"/>
      <c r="BR746" s="25"/>
      <c r="CF746" s="27"/>
      <c r="CG746" s="27"/>
      <c r="CH746" s="27"/>
      <c r="CI746" s="27"/>
      <c r="CJ746" s="27"/>
      <c r="CK746" s="27"/>
    </row>
    <row r="747" ht="14.25" customHeight="1">
      <c r="A747" s="118"/>
      <c r="B747" s="118"/>
      <c r="C747" s="118"/>
      <c r="D747" s="119"/>
      <c r="E747" s="119"/>
      <c r="F747" s="118"/>
      <c r="G747" s="118"/>
      <c r="H747" s="118"/>
      <c r="I747" s="118"/>
      <c r="AF747" s="22"/>
      <c r="AG747" s="22"/>
      <c r="AH747" s="22"/>
      <c r="AI747" s="22"/>
      <c r="AJ747" s="22"/>
      <c r="AK747" s="23"/>
      <c r="AN747" s="24"/>
      <c r="AO747" s="24"/>
      <c r="AX747" s="25"/>
      <c r="BR747" s="25"/>
      <c r="CF747" s="27"/>
      <c r="CG747" s="27"/>
      <c r="CH747" s="27"/>
      <c r="CI747" s="27"/>
      <c r="CJ747" s="27"/>
      <c r="CK747" s="27"/>
    </row>
    <row r="748" ht="14.25" customHeight="1">
      <c r="A748" s="118"/>
      <c r="B748" s="118"/>
      <c r="C748" s="118"/>
      <c r="D748" s="119"/>
      <c r="E748" s="119"/>
      <c r="F748" s="118"/>
      <c r="G748" s="118"/>
      <c r="H748" s="118"/>
      <c r="I748" s="118"/>
      <c r="AF748" s="22"/>
      <c r="AG748" s="22"/>
      <c r="AH748" s="22"/>
      <c r="AI748" s="22"/>
      <c r="AJ748" s="22"/>
      <c r="AK748" s="23"/>
      <c r="AN748" s="24"/>
      <c r="AO748" s="24"/>
      <c r="AX748" s="25"/>
      <c r="BR748" s="25"/>
      <c r="CF748" s="27"/>
      <c r="CG748" s="27"/>
      <c r="CH748" s="27"/>
      <c r="CI748" s="27"/>
      <c r="CJ748" s="27"/>
      <c r="CK748" s="27"/>
    </row>
    <row r="749" ht="14.25" customHeight="1">
      <c r="A749" s="118"/>
      <c r="B749" s="118"/>
      <c r="C749" s="118"/>
      <c r="D749" s="119"/>
      <c r="E749" s="119"/>
      <c r="F749" s="118"/>
      <c r="G749" s="118"/>
      <c r="H749" s="118"/>
      <c r="I749" s="118"/>
      <c r="AF749" s="22"/>
      <c r="AG749" s="22"/>
      <c r="AH749" s="22"/>
      <c r="AI749" s="22"/>
      <c r="AJ749" s="22"/>
      <c r="AK749" s="23"/>
      <c r="AN749" s="24"/>
      <c r="AO749" s="24"/>
      <c r="AX749" s="25"/>
      <c r="BR749" s="25"/>
      <c r="CF749" s="27"/>
      <c r="CG749" s="27"/>
      <c r="CH749" s="27"/>
      <c r="CI749" s="27"/>
      <c r="CJ749" s="27"/>
      <c r="CK749" s="27"/>
    </row>
    <row r="750" ht="14.25" customHeight="1">
      <c r="A750" s="118"/>
      <c r="B750" s="118"/>
      <c r="C750" s="118"/>
      <c r="D750" s="119"/>
      <c r="E750" s="119"/>
      <c r="F750" s="118"/>
      <c r="G750" s="118"/>
      <c r="H750" s="118"/>
      <c r="I750" s="118"/>
      <c r="AF750" s="22"/>
      <c r="AG750" s="22"/>
      <c r="AH750" s="22"/>
      <c r="AI750" s="22"/>
      <c r="AJ750" s="22"/>
      <c r="AK750" s="23"/>
      <c r="AN750" s="24"/>
      <c r="AO750" s="24"/>
      <c r="AX750" s="25"/>
      <c r="BR750" s="25"/>
      <c r="CF750" s="27"/>
      <c r="CG750" s="27"/>
      <c r="CH750" s="27"/>
      <c r="CI750" s="27"/>
      <c r="CJ750" s="27"/>
      <c r="CK750" s="27"/>
    </row>
    <row r="751" ht="14.25" customHeight="1">
      <c r="A751" s="118"/>
      <c r="B751" s="118"/>
      <c r="C751" s="118"/>
      <c r="D751" s="119"/>
      <c r="E751" s="119"/>
      <c r="F751" s="118"/>
      <c r="G751" s="118"/>
      <c r="H751" s="118"/>
      <c r="I751" s="118"/>
      <c r="AF751" s="22"/>
      <c r="AG751" s="22"/>
      <c r="AH751" s="22"/>
      <c r="AI751" s="22"/>
      <c r="AJ751" s="22"/>
      <c r="AK751" s="23"/>
      <c r="AN751" s="24"/>
      <c r="AO751" s="24"/>
      <c r="AX751" s="25"/>
      <c r="BR751" s="25"/>
      <c r="CF751" s="27"/>
      <c r="CG751" s="27"/>
      <c r="CH751" s="27"/>
      <c r="CI751" s="27"/>
      <c r="CJ751" s="27"/>
      <c r="CK751" s="27"/>
    </row>
    <row r="752" ht="14.25" customHeight="1">
      <c r="A752" s="118"/>
      <c r="B752" s="118"/>
      <c r="C752" s="118"/>
      <c r="D752" s="119"/>
      <c r="E752" s="119"/>
      <c r="F752" s="118"/>
      <c r="G752" s="118"/>
      <c r="H752" s="118"/>
      <c r="I752" s="118"/>
      <c r="AF752" s="22"/>
      <c r="AG752" s="22"/>
      <c r="AH752" s="22"/>
      <c r="AI752" s="22"/>
      <c r="AJ752" s="22"/>
      <c r="AK752" s="23"/>
      <c r="AN752" s="24"/>
      <c r="AO752" s="24"/>
      <c r="AX752" s="25"/>
      <c r="BR752" s="25"/>
      <c r="CF752" s="27"/>
      <c r="CG752" s="27"/>
      <c r="CH752" s="27"/>
      <c r="CI752" s="27"/>
      <c r="CJ752" s="27"/>
      <c r="CK752" s="27"/>
    </row>
    <row r="753" ht="14.25" customHeight="1">
      <c r="A753" s="118"/>
      <c r="B753" s="118"/>
      <c r="C753" s="118"/>
      <c r="D753" s="119"/>
      <c r="E753" s="119"/>
      <c r="F753" s="118"/>
      <c r="G753" s="118"/>
      <c r="H753" s="118"/>
      <c r="I753" s="118"/>
      <c r="AF753" s="22"/>
      <c r="AG753" s="22"/>
      <c r="AH753" s="22"/>
      <c r="AI753" s="22"/>
      <c r="AJ753" s="22"/>
      <c r="AK753" s="23"/>
      <c r="AN753" s="24"/>
      <c r="AO753" s="24"/>
      <c r="AX753" s="25"/>
      <c r="BR753" s="25"/>
      <c r="CF753" s="27"/>
      <c r="CG753" s="27"/>
      <c r="CH753" s="27"/>
      <c r="CI753" s="27"/>
      <c r="CJ753" s="27"/>
      <c r="CK753" s="27"/>
    </row>
    <row r="754" ht="14.25" customHeight="1">
      <c r="A754" s="118"/>
      <c r="B754" s="118"/>
      <c r="C754" s="118"/>
      <c r="D754" s="119"/>
      <c r="E754" s="119"/>
      <c r="F754" s="118"/>
      <c r="G754" s="118"/>
      <c r="H754" s="118"/>
      <c r="I754" s="118"/>
      <c r="AF754" s="22"/>
      <c r="AG754" s="22"/>
      <c r="AH754" s="22"/>
      <c r="AI754" s="22"/>
      <c r="AJ754" s="22"/>
      <c r="AK754" s="23"/>
      <c r="AN754" s="24"/>
      <c r="AO754" s="24"/>
      <c r="AX754" s="25"/>
      <c r="BR754" s="25"/>
      <c r="CF754" s="27"/>
      <c r="CG754" s="27"/>
      <c r="CH754" s="27"/>
      <c r="CI754" s="27"/>
      <c r="CJ754" s="27"/>
      <c r="CK754" s="27"/>
    </row>
    <row r="755" ht="14.25" customHeight="1">
      <c r="A755" s="118"/>
      <c r="B755" s="118"/>
      <c r="C755" s="118"/>
      <c r="D755" s="119"/>
      <c r="E755" s="119"/>
      <c r="F755" s="118"/>
      <c r="G755" s="118"/>
      <c r="H755" s="118"/>
      <c r="I755" s="118"/>
      <c r="AF755" s="22"/>
      <c r="AG755" s="22"/>
      <c r="AH755" s="22"/>
      <c r="AI755" s="22"/>
      <c r="AJ755" s="22"/>
      <c r="AK755" s="23"/>
      <c r="AN755" s="24"/>
      <c r="AO755" s="24"/>
      <c r="AX755" s="25"/>
      <c r="BR755" s="25"/>
      <c r="CF755" s="27"/>
      <c r="CG755" s="27"/>
      <c r="CH755" s="27"/>
      <c r="CI755" s="27"/>
      <c r="CJ755" s="27"/>
      <c r="CK755" s="27"/>
    </row>
    <row r="756" ht="14.25" customHeight="1">
      <c r="A756" s="118"/>
      <c r="B756" s="118"/>
      <c r="C756" s="118"/>
      <c r="D756" s="119"/>
      <c r="E756" s="119"/>
      <c r="F756" s="118"/>
      <c r="G756" s="118"/>
      <c r="H756" s="118"/>
      <c r="I756" s="118"/>
      <c r="AF756" s="22"/>
      <c r="AG756" s="22"/>
      <c r="AH756" s="22"/>
      <c r="AI756" s="22"/>
      <c r="AJ756" s="22"/>
      <c r="AK756" s="23"/>
      <c r="AN756" s="24"/>
      <c r="AO756" s="24"/>
      <c r="AX756" s="25"/>
      <c r="BR756" s="25"/>
      <c r="CF756" s="27"/>
      <c r="CG756" s="27"/>
      <c r="CH756" s="27"/>
      <c r="CI756" s="27"/>
      <c r="CJ756" s="27"/>
      <c r="CK756" s="27"/>
    </row>
    <row r="757" ht="14.25" customHeight="1">
      <c r="A757" s="118"/>
      <c r="B757" s="118"/>
      <c r="C757" s="118"/>
      <c r="D757" s="119"/>
      <c r="E757" s="119"/>
      <c r="F757" s="118"/>
      <c r="G757" s="118"/>
      <c r="H757" s="118"/>
      <c r="I757" s="118"/>
      <c r="AF757" s="22"/>
      <c r="AG757" s="22"/>
      <c r="AH757" s="22"/>
      <c r="AI757" s="22"/>
      <c r="AJ757" s="22"/>
      <c r="AK757" s="23"/>
      <c r="AN757" s="24"/>
      <c r="AO757" s="24"/>
      <c r="AX757" s="25"/>
      <c r="BR757" s="25"/>
      <c r="CF757" s="27"/>
      <c r="CG757" s="27"/>
      <c r="CH757" s="27"/>
      <c r="CI757" s="27"/>
      <c r="CJ757" s="27"/>
      <c r="CK757" s="27"/>
    </row>
    <row r="758" ht="14.25" customHeight="1">
      <c r="A758" s="118"/>
      <c r="B758" s="118"/>
      <c r="C758" s="118"/>
      <c r="D758" s="119"/>
      <c r="E758" s="119"/>
      <c r="F758" s="118"/>
      <c r="G758" s="118"/>
      <c r="H758" s="118"/>
      <c r="I758" s="118"/>
      <c r="AF758" s="22"/>
      <c r="AG758" s="22"/>
      <c r="AH758" s="22"/>
      <c r="AI758" s="22"/>
      <c r="AJ758" s="22"/>
      <c r="AK758" s="23"/>
      <c r="AN758" s="24"/>
      <c r="AO758" s="24"/>
      <c r="AX758" s="25"/>
      <c r="BR758" s="25"/>
      <c r="CF758" s="27"/>
      <c r="CG758" s="27"/>
      <c r="CH758" s="27"/>
      <c r="CI758" s="27"/>
      <c r="CJ758" s="27"/>
      <c r="CK758" s="27"/>
    </row>
    <row r="759" ht="14.25" customHeight="1">
      <c r="A759" s="118"/>
      <c r="B759" s="118"/>
      <c r="C759" s="118"/>
      <c r="D759" s="119"/>
      <c r="E759" s="119"/>
      <c r="F759" s="118"/>
      <c r="G759" s="118"/>
      <c r="H759" s="118"/>
      <c r="I759" s="118"/>
      <c r="AF759" s="22"/>
      <c r="AG759" s="22"/>
      <c r="AH759" s="22"/>
      <c r="AI759" s="22"/>
      <c r="AJ759" s="22"/>
      <c r="AK759" s="23"/>
      <c r="AN759" s="24"/>
      <c r="AO759" s="24"/>
      <c r="AX759" s="25"/>
      <c r="BR759" s="25"/>
      <c r="CF759" s="27"/>
      <c r="CG759" s="27"/>
      <c r="CH759" s="27"/>
      <c r="CI759" s="27"/>
      <c r="CJ759" s="27"/>
      <c r="CK759" s="27"/>
    </row>
    <row r="760" ht="14.25" customHeight="1">
      <c r="A760" s="118"/>
      <c r="B760" s="118"/>
      <c r="C760" s="118"/>
      <c r="D760" s="119"/>
      <c r="E760" s="119"/>
      <c r="F760" s="118"/>
      <c r="G760" s="118"/>
      <c r="H760" s="118"/>
      <c r="I760" s="118"/>
      <c r="AF760" s="22"/>
      <c r="AG760" s="22"/>
      <c r="AH760" s="22"/>
      <c r="AI760" s="22"/>
      <c r="AJ760" s="22"/>
      <c r="AK760" s="23"/>
      <c r="AN760" s="24"/>
      <c r="AO760" s="24"/>
      <c r="AX760" s="25"/>
      <c r="BR760" s="25"/>
      <c r="CF760" s="27"/>
      <c r="CG760" s="27"/>
      <c r="CH760" s="27"/>
      <c r="CI760" s="27"/>
      <c r="CJ760" s="27"/>
      <c r="CK760" s="27"/>
    </row>
    <row r="761" ht="14.25" customHeight="1">
      <c r="A761" s="118"/>
      <c r="B761" s="118"/>
      <c r="C761" s="118"/>
      <c r="D761" s="119"/>
      <c r="E761" s="119"/>
      <c r="F761" s="118"/>
      <c r="G761" s="118"/>
      <c r="H761" s="118"/>
      <c r="I761" s="118"/>
      <c r="AF761" s="22"/>
      <c r="AG761" s="22"/>
      <c r="AH761" s="22"/>
      <c r="AI761" s="22"/>
      <c r="AJ761" s="22"/>
      <c r="AK761" s="23"/>
      <c r="AN761" s="24"/>
      <c r="AO761" s="24"/>
      <c r="AX761" s="25"/>
      <c r="BR761" s="25"/>
      <c r="CF761" s="27"/>
      <c r="CG761" s="27"/>
      <c r="CH761" s="27"/>
      <c r="CI761" s="27"/>
      <c r="CJ761" s="27"/>
      <c r="CK761" s="27"/>
    </row>
    <row r="762" ht="14.25" customHeight="1">
      <c r="A762" s="118"/>
      <c r="B762" s="118"/>
      <c r="C762" s="118"/>
      <c r="D762" s="119"/>
      <c r="E762" s="119"/>
      <c r="F762" s="118"/>
      <c r="G762" s="118"/>
      <c r="H762" s="118"/>
      <c r="I762" s="118"/>
      <c r="AF762" s="22"/>
      <c r="AG762" s="22"/>
      <c r="AH762" s="22"/>
      <c r="AI762" s="22"/>
      <c r="AJ762" s="22"/>
      <c r="AK762" s="23"/>
      <c r="AN762" s="24"/>
      <c r="AO762" s="24"/>
      <c r="AX762" s="25"/>
      <c r="BR762" s="25"/>
      <c r="CF762" s="27"/>
      <c r="CG762" s="27"/>
      <c r="CH762" s="27"/>
      <c r="CI762" s="27"/>
      <c r="CJ762" s="27"/>
      <c r="CK762" s="27"/>
    </row>
    <row r="763" ht="14.25" customHeight="1">
      <c r="A763" s="118"/>
      <c r="B763" s="118"/>
      <c r="C763" s="118"/>
      <c r="D763" s="119"/>
      <c r="E763" s="119"/>
      <c r="F763" s="118"/>
      <c r="G763" s="118"/>
      <c r="H763" s="118"/>
      <c r="I763" s="118"/>
      <c r="AF763" s="22"/>
      <c r="AG763" s="22"/>
      <c r="AH763" s="22"/>
      <c r="AI763" s="22"/>
      <c r="AJ763" s="22"/>
      <c r="AK763" s="23"/>
      <c r="AN763" s="24"/>
      <c r="AO763" s="24"/>
      <c r="AX763" s="25"/>
      <c r="BR763" s="25"/>
      <c r="CF763" s="27"/>
      <c r="CG763" s="27"/>
      <c r="CH763" s="27"/>
      <c r="CI763" s="27"/>
      <c r="CJ763" s="27"/>
      <c r="CK763" s="27"/>
    </row>
    <row r="764" ht="14.25" customHeight="1">
      <c r="A764" s="118"/>
      <c r="B764" s="118"/>
      <c r="C764" s="118"/>
      <c r="D764" s="119"/>
      <c r="E764" s="119"/>
      <c r="F764" s="118"/>
      <c r="G764" s="118"/>
      <c r="H764" s="118"/>
      <c r="I764" s="118"/>
      <c r="AF764" s="22"/>
      <c r="AG764" s="22"/>
      <c r="AH764" s="22"/>
      <c r="AI764" s="22"/>
      <c r="AJ764" s="22"/>
      <c r="AK764" s="23"/>
      <c r="AN764" s="24"/>
      <c r="AO764" s="24"/>
      <c r="AX764" s="25"/>
      <c r="BR764" s="25"/>
      <c r="CF764" s="27"/>
      <c r="CG764" s="27"/>
      <c r="CH764" s="27"/>
      <c r="CI764" s="27"/>
      <c r="CJ764" s="27"/>
      <c r="CK764" s="27"/>
    </row>
    <row r="765" ht="14.25" customHeight="1">
      <c r="A765" s="118"/>
      <c r="B765" s="118"/>
      <c r="C765" s="118"/>
      <c r="D765" s="119"/>
      <c r="E765" s="119"/>
      <c r="F765" s="118"/>
      <c r="G765" s="118"/>
      <c r="H765" s="118"/>
      <c r="I765" s="118"/>
      <c r="AF765" s="22"/>
      <c r="AG765" s="22"/>
      <c r="AH765" s="22"/>
      <c r="AI765" s="22"/>
      <c r="AJ765" s="22"/>
      <c r="AK765" s="23"/>
      <c r="AN765" s="24"/>
      <c r="AO765" s="24"/>
      <c r="AX765" s="25"/>
      <c r="BR765" s="25"/>
      <c r="CF765" s="27"/>
      <c r="CG765" s="27"/>
      <c r="CH765" s="27"/>
      <c r="CI765" s="27"/>
      <c r="CJ765" s="27"/>
      <c r="CK765" s="27"/>
    </row>
    <row r="766" ht="14.25" customHeight="1">
      <c r="A766" s="118"/>
      <c r="B766" s="118"/>
      <c r="C766" s="118"/>
      <c r="D766" s="119"/>
      <c r="E766" s="119"/>
      <c r="F766" s="118"/>
      <c r="G766" s="118"/>
      <c r="H766" s="118"/>
      <c r="I766" s="118"/>
      <c r="AF766" s="22"/>
      <c r="AG766" s="22"/>
      <c r="AH766" s="22"/>
      <c r="AI766" s="22"/>
      <c r="AJ766" s="22"/>
      <c r="AK766" s="23"/>
      <c r="AN766" s="24"/>
      <c r="AO766" s="24"/>
      <c r="AX766" s="25"/>
      <c r="BR766" s="25"/>
      <c r="CF766" s="27"/>
      <c r="CG766" s="27"/>
      <c r="CH766" s="27"/>
      <c r="CI766" s="27"/>
      <c r="CJ766" s="27"/>
      <c r="CK766" s="27"/>
    </row>
    <row r="767" ht="14.25" customHeight="1">
      <c r="A767" s="118"/>
      <c r="B767" s="118"/>
      <c r="C767" s="118"/>
      <c r="D767" s="119"/>
      <c r="E767" s="119"/>
      <c r="F767" s="118"/>
      <c r="G767" s="118"/>
      <c r="H767" s="118"/>
      <c r="I767" s="118"/>
      <c r="AF767" s="22"/>
      <c r="AG767" s="22"/>
      <c r="AH767" s="22"/>
      <c r="AI767" s="22"/>
      <c r="AJ767" s="22"/>
      <c r="AK767" s="23"/>
      <c r="AN767" s="24"/>
      <c r="AO767" s="24"/>
      <c r="AX767" s="25"/>
      <c r="BR767" s="25"/>
      <c r="CF767" s="27"/>
      <c r="CG767" s="27"/>
      <c r="CH767" s="27"/>
      <c r="CI767" s="27"/>
      <c r="CJ767" s="27"/>
      <c r="CK767" s="27"/>
    </row>
    <row r="768" ht="14.25" customHeight="1">
      <c r="A768" s="118"/>
      <c r="B768" s="118"/>
      <c r="C768" s="118"/>
      <c r="D768" s="119"/>
      <c r="E768" s="119"/>
      <c r="F768" s="118"/>
      <c r="G768" s="118"/>
      <c r="H768" s="118"/>
      <c r="I768" s="118"/>
      <c r="AF768" s="22"/>
      <c r="AG768" s="22"/>
      <c r="AH768" s="22"/>
      <c r="AI768" s="22"/>
      <c r="AJ768" s="22"/>
      <c r="AK768" s="23"/>
      <c r="AN768" s="24"/>
      <c r="AO768" s="24"/>
      <c r="AX768" s="25"/>
      <c r="BR768" s="25"/>
      <c r="CF768" s="27"/>
      <c r="CG768" s="27"/>
      <c r="CH768" s="27"/>
      <c r="CI768" s="27"/>
      <c r="CJ768" s="27"/>
      <c r="CK768" s="27"/>
    </row>
    <row r="769" ht="14.25" customHeight="1">
      <c r="A769" s="118"/>
      <c r="B769" s="118"/>
      <c r="C769" s="118"/>
      <c r="D769" s="119"/>
      <c r="E769" s="119"/>
      <c r="F769" s="118"/>
      <c r="G769" s="118"/>
      <c r="H769" s="118"/>
      <c r="I769" s="118"/>
      <c r="AF769" s="22"/>
      <c r="AG769" s="22"/>
      <c r="AH769" s="22"/>
      <c r="AI769" s="22"/>
      <c r="AJ769" s="22"/>
      <c r="AK769" s="23"/>
      <c r="AN769" s="24"/>
      <c r="AO769" s="24"/>
      <c r="AX769" s="25"/>
      <c r="BR769" s="25"/>
      <c r="CF769" s="27"/>
      <c r="CG769" s="27"/>
      <c r="CH769" s="27"/>
      <c r="CI769" s="27"/>
      <c r="CJ769" s="27"/>
      <c r="CK769" s="27"/>
    </row>
    <row r="770" ht="14.25" customHeight="1">
      <c r="A770" s="118"/>
      <c r="B770" s="118"/>
      <c r="C770" s="118"/>
      <c r="D770" s="119"/>
      <c r="E770" s="119"/>
      <c r="F770" s="118"/>
      <c r="G770" s="118"/>
      <c r="H770" s="118"/>
      <c r="I770" s="118"/>
      <c r="AF770" s="22"/>
      <c r="AG770" s="22"/>
      <c r="AH770" s="22"/>
      <c r="AI770" s="22"/>
      <c r="AJ770" s="22"/>
      <c r="AK770" s="23"/>
      <c r="AN770" s="24"/>
      <c r="AO770" s="24"/>
      <c r="AX770" s="25"/>
      <c r="BR770" s="25"/>
      <c r="CF770" s="27"/>
      <c r="CG770" s="27"/>
      <c r="CH770" s="27"/>
      <c r="CI770" s="27"/>
      <c r="CJ770" s="27"/>
      <c r="CK770" s="27"/>
    </row>
    <row r="771" ht="14.25" customHeight="1">
      <c r="A771" s="118"/>
      <c r="B771" s="118"/>
      <c r="C771" s="118"/>
      <c r="D771" s="119"/>
      <c r="E771" s="119"/>
      <c r="F771" s="118"/>
      <c r="G771" s="118"/>
      <c r="H771" s="118"/>
      <c r="I771" s="118"/>
      <c r="AF771" s="22"/>
      <c r="AG771" s="22"/>
      <c r="AH771" s="22"/>
      <c r="AI771" s="22"/>
      <c r="AJ771" s="22"/>
      <c r="AK771" s="23"/>
      <c r="AN771" s="24"/>
      <c r="AO771" s="24"/>
      <c r="AX771" s="25"/>
      <c r="BR771" s="25"/>
      <c r="CF771" s="27"/>
      <c r="CG771" s="27"/>
      <c r="CH771" s="27"/>
      <c r="CI771" s="27"/>
      <c r="CJ771" s="27"/>
      <c r="CK771" s="27"/>
    </row>
    <row r="772" ht="14.25" customHeight="1">
      <c r="A772" s="118"/>
      <c r="B772" s="118"/>
      <c r="C772" s="118"/>
      <c r="D772" s="119"/>
      <c r="E772" s="119"/>
      <c r="F772" s="118"/>
      <c r="G772" s="118"/>
      <c r="H772" s="118"/>
      <c r="I772" s="118"/>
      <c r="AF772" s="22"/>
      <c r="AG772" s="22"/>
      <c r="AH772" s="22"/>
      <c r="AI772" s="22"/>
      <c r="AJ772" s="22"/>
      <c r="AK772" s="23"/>
      <c r="AN772" s="24"/>
      <c r="AO772" s="24"/>
      <c r="AX772" s="25"/>
      <c r="BR772" s="25"/>
      <c r="CF772" s="27"/>
      <c r="CG772" s="27"/>
      <c r="CH772" s="27"/>
      <c r="CI772" s="27"/>
      <c r="CJ772" s="27"/>
      <c r="CK772" s="27"/>
    </row>
    <row r="773" ht="14.25" customHeight="1">
      <c r="A773" s="118"/>
      <c r="B773" s="118"/>
      <c r="C773" s="118"/>
      <c r="D773" s="119"/>
      <c r="E773" s="119"/>
      <c r="F773" s="118"/>
      <c r="G773" s="118"/>
      <c r="H773" s="118"/>
      <c r="I773" s="118"/>
      <c r="AF773" s="22"/>
      <c r="AG773" s="22"/>
      <c r="AH773" s="22"/>
      <c r="AI773" s="22"/>
      <c r="AJ773" s="22"/>
      <c r="AK773" s="23"/>
      <c r="AN773" s="24"/>
      <c r="AO773" s="24"/>
      <c r="AX773" s="25"/>
      <c r="BR773" s="25"/>
      <c r="CF773" s="27"/>
      <c r="CG773" s="27"/>
      <c r="CH773" s="27"/>
      <c r="CI773" s="27"/>
      <c r="CJ773" s="27"/>
      <c r="CK773" s="27"/>
    </row>
    <row r="774" ht="14.25" customHeight="1">
      <c r="A774" s="118"/>
      <c r="B774" s="118"/>
      <c r="C774" s="118"/>
      <c r="D774" s="119"/>
      <c r="E774" s="119"/>
      <c r="F774" s="118"/>
      <c r="G774" s="118"/>
      <c r="H774" s="118"/>
      <c r="I774" s="118"/>
      <c r="AF774" s="22"/>
      <c r="AG774" s="22"/>
      <c r="AH774" s="22"/>
      <c r="AI774" s="22"/>
      <c r="AJ774" s="22"/>
      <c r="AK774" s="23"/>
      <c r="AN774" s="24"/>
      <c r="AO774" s="24"/>
      <c r="AX774" s="25"/>
      <c r="BR774" s="25"/>
      <c r="CF774" s="27"/>
      <c r="CG774" s="27"/>
      <c r="CH774" s="27"/>
      <c r="CI774" s="27"/>
      <c r="CJ774" s="27"/>
      <c r="CK774" s="27"/>
    </row>
    <row r="775" ht="14.25" customHeight="1">
      <c r="A775" s="118"/>
      <c r="B775" s="118"/>
      <c r="C775" s="118"/>
      <c r="D775" s="119"/>
      <c r="E775" s="119"/>
      <c r="F775" s="118"/>
      <c r="G775" s="118"/>
      <c r="H775" s="118"/>
      <c r="I775" s="118"/>
      <c r="AF775" s="22"/>
      <c r="AG775" s="22"/>
      <c r="AH775" s="22"/>
      <c r="AI775" s="22"/>
      <c r="AJ775" s="22"/>
      <c r="AK775" s="23"/>
      <c r="AN775" s="24"/>
      <c r="AO775" s="24"/>
      <c r="AX775" s="25"/>
      <c r="BR775" s="25"/>
      <c r="CF775" s="27"/>
      <c r="CG775" s="27"/>
      <c r="CH775" s="27"/>
      <c r="CI775" s="27"/>
      <c r="CJ775" s="27"/>
      <c r="CK775" s="27"/>
    </row>
    <row r="776" ht="14.25" customHeight="1">
      <c r="A776" s="118"/>
      <c r="B776" s="118"/>
      <c r="C776" s="118"/>
      <c r="D776" s="119"/>
      <c r="E776" s="119"/>
      <c r="F776" s="118"/>
      <c r="G776" s="118"/>
      <c r="H776" s="118"/>
      <c r="I776" s="118"/>
      <c r="AF776" s="22"/>
      <c r="AG776" s="22"/>
      <c r="AH776" s="22"/>
      <c r="AI776" s="22"/>
      <c r="AJ776" s="22"/>
      <c r="AK776" s="23"/>
      <c r="AN776" s="24"/>
      <c r="AO776" s="24"/>
      <c r="AX776" s="25"/>
      <c r="BR776" s="25"/>
      <c r="CF776" s="27"/>
      <c r="CG776" s="27"/>
      <c r="CH776" s="27"/>
      <c r="CI776" s="27"/>
      <c r="CJ776" s="27"/>
      <c r="CK776" s="27"/>
    </row>
    <row r="777" ht="14.25" customHeight="1">
      <c r="A777" s="118"/>
      <c r="B777" s="118"/>
      <c r="C777" s="118"/>
      <c r="D777" s="119"/>
      <c r="E777" s="119"/>
      <c r="F777" s="118"/>
      <c r="G777" s="118"/>
      <c r="H777" s="118"/>
      <c r="I777" s="118"/>
      <c r="AF777" s="22"/>
      <c r="AG777" s="22"/>
      <c r="AH777" s="22"/>
      <c r="AI777" s="22"/>
      <c r="AJ777" s="22"/>
      <c r="AK777" s="23"/>
      <c r="AN777" s="24"/>
      <c r="AO777" s="24"/>
      <c r="AX777" s="25"/>
      <c r="BR777" s="25"/>
      <c r="CF777" s="27"/>
      <c r="CG777" s="27"/>
      <c r="CH777" s="27"/>
      <c r="CI777" s="27"/>
      <c r="CJ777" s="27"/>
      <c r="CK777" s="27"/>
    </row>
    <row r="778" ht="14.25" customHeight="1">
      <c r="A778" s="118"/>
      <c r="B778" s="118"/>
      <c r="C778" s="118"/>
      <c r="D778" s="119"/>
      <c r="E778" s="119"/>
      <c r="F778" s="118"/>
      <c r="G778" s="118"/>
      <c r="H778" s="118"/>
      <c r="I778" s="118"/>
      <c r="AF778" s="22"/>
      <c r="AG778" s="22"/>
      <c r="AH778" s="22"/>
      <c r="AI778" s="22"/>
      <c r="AJ778" s="22"/>
      <c r="AK778" s="23"/>
      <c r="AN778" s="24"/>
      <c r="AO778" s="24"/>
      <c r="AX778" s="25"/>
      <c r="BR778" s="25"/>
      <c r="CF778" s="27"/>
      <c r="CG778" s="27"/>
      <c r="CH778" s="27"/>
      <c r="CI778" s="27"/>
      <c r="CJ778" s="27"/>
      <c r="CK778" s="27"/>
    </row>
    <row r="779" ht="14.25" customHeight="1">
      <c r="A779" s="118"/>
      <c r="B779" s="118"/>
      <c r="C779" s="118"/>
      <c r="D779" s="119"/>
      <c r="E779" s="119"/>
      <c r="F779" s="118"/>
      <c r="G779" s="118"/>
      <c r="H779" s="118"/>
      <c r="I779" s="118"/>
      <c r="AF779" s="22"/>
      <c r="AG779" s="22"/>
      <c r="AH779" s="22"/>
      <c r="AI779" s="22"/>
      <c r="AJ779" s="22"/>
      <c r="AK779" s="23"/>
      <c r="AN779" s="24"/>
      <c r="AO779" s="24"/>
      <c r="AX779" s="25"/>
      <c r="BR779" s="25"/>
      <c r="CF779" s="27"/>
      <c r="CG779" s="27"/>
      <c r="CH779" s="27"/>
      <c r="CI779" s="27"/>
      <c r="CJ779" s="27"/>
      <c r="CK779" s="27"/>
    </row>
    <row r="780" ht="14.25" customHeight="1">
      <c r="A780" s="118"/>
      <c r="B780" s="118"/>
      <c r="C780" s="118"/>
      <c r="D780" s="119"/>
      <c r="E780" s="119"/>
      <c r="F780" s="118"/>
      <c r="G780" s="118"/>
      <c r="H780" s="118"/>
      <c r="I780" s="118"/>
      <c r="AF780" s="22"/>
      <c r="AG780" s="22"/>
      <c r="AH780" s="22"/>
      <c r="AI780" s="22"/>
      <c r="AJ780" s="22"/>
      <c r="AK780" s="23"/>
      <c r="AN780" s="24"/>
      <c r="AO780" s="24"/>
      <c r="AX780" s="25"/>
      <c r="BR780" s="25"/>
      <c r="CF780" s="27"/>
      <c r="CG780" s="27"/>
      <c r="CH780" s="27"/>
      <c r="CI780" s="27"/>
      <c r="CJ780" s="27"/>
      <c r="CK780" s="27"/>
    </row>
    <row r="781" ht="14.25" customHeight="1">
      <c r="A781" s="118"/>
      <c r="B781" s="118"/>
      <c r="C781" s="118"/>
      <c r="D781" s="119"/>
      <c r="E781" s="119"/>
      <c r="F781" s="118"/>
      <c r="G781" s="118"/>
      <c r="H781" s="118"/>
      <c r="I781" s="118"/>
      <c r="AF781" s="22"/>
      <c r="AG781" s="22"/>
      <c r="AH781" s="22"/>
      <c r="AI781" s="22"/>
      <c r="AJ781" s="22"/>
      <c r="AK781" s="23"/>
      <c r="AN781" s="24"/>
      <c r="AO781" s="24"/>
      <c r="AX781" s="25"/>
      <c r="BR781" s="25"/>
      <c r="CF781" s="27"/>
      <c r="CG781" s="27"/>
      <c r="CH781" s="27"/>
      <c r="CI781" s="27"/>
      <c r="CJ781" s="27"/>
      <c r="CK781" s="27"/>
    </row>
    <row r="782" ht="14.25" customHeight="1">
      <c r="A782" s="118"/>
      <c r="B782" s="118"/>
      <c r="C782" s="118"/>
      <c r="D782" s="119"/>
      <c r="E782" s="119"/>
      <c r="F782" s="118"/>
      <c r="G782" s="118"/>
      <c r="H782" s="118"/>
      <c r="I782" s="118"/>
      <c r="AF782" s="22"/>
      <c r="AG782" s="22"/>
      <c r="AH782" s="22"/>
      <c r="AI782" s="22"/>
      <c r="AJ782" s="22"/>
      <c r="AK782" s="23"/>
      <c r="AN782" s="24"/>
      <c r="AO782" s="24"/>
      <c r="AX782" s="25"/>
      <c r="BR782" s="25"/>
      <c r="CF782" s="27"/>
      <c r="CG782" s="27"/>
      <c r="CH782" s="27"/>
      <c r="CI782" s="27"/>
      <c r="CJ782" s="27"/>
      <c r="CK782" s="27"/>
    </row>
    <row r="783" ht="14.25" customHeight="1">
      <c r="A783" s="118"/>
      <c r="B783" s="118"/>
      <c r="C783" s="118"/>
      <c r="D783" s="119"/>
      <c r="E783" s="119"/>
      <c r="F783" s="118"/>
      <c r="G783" s="118"/>
      <c r="H783" s="118"/>
      <c r="I783" s="118"/>
      <c r="AF783" s="22"/>
      <c r="AG783" s="22"/>
      <c r="AH783" s="22"/>
      <c r="AI783" s="22"/>
      <c r="AJ783" s="22"/>
      <c r="AK783" s="23"/>
      <c r="AN783" s="24"/>
      <c r="AO783" s="24"/>
      <c r="AX783" s="25"/>
      <c r="BR783" s="25"/>
      <c r="CF783" s="27"/>
      <c r="CG783" s="27"/>
      <c r="CH783" s="27"/>
      <c r="CI783" s="27"/>
      <c r="CJ783" s="27"/>
      <c r="CK783" s="27"/>
    </row>
    <row r="784" ht="14.25" customHeight="1">
      <c r="A784" s="118"/>
      <c r="B784" s="118"/>
      <c r="C784" s="118"/>
      <c r="D784" s="119"/>
      <c r="E784" s="119"/>
      <c r="F784" s="118"/>
      <c r="G784" s="118"/>
      <c r="H784" s="118"/>
      <c r="I784" s="118"/>
      <c r="AF784" s="22"/>
      <c r="AG784" s="22"/>
      <c r="AH784" s="22"/>
      <c r="AI784" s="22"/>
      <c r="AJ784" s="22"/>
      <c r="AK784" s="23"/>
      <c r="AN784" s="24"/>
      <c r="AO784" s="24"/>
      <c r="AX784" s="25"/>
      <c r="BR784" s="25"/>
      <c r="CF784" s="27"/>
      <c r="CG784" s="27"/>
      <c r="CH784" s="27"/>
      <c r="CI784" s="27"/>
      <c r="CJ784" s="27"/>
      <c r="CK784" s="27"/>
    </row>
    <row r="785" ht="14.25" customHeight="1">
      <c r="A785" s="118"/>
      <c r="B785" s="118"/>
      <c r="C785" s="118"/>
      <c r="D785" s="119"/>
      <c r="E785" s="119"/>
      <c r="F785" s="118"/>
      <c r="G785" s="118"/>
      <c r="H785" s="118"/>
      <c r="I785" s="118"/>
      <c r="AF785" s="22"/>
      <c r="AG785" s="22"/>
      <c r="AH785" s="22"/>
      <c r="AI785" s="22"/>
      <c r="AJ785" s="22"/>
      <c r="AK785" s="23"/>
      <c r="AN785" s="24"/>
      <c r="AO785" s="24"/>
      <c r="AX785" s="25"/>
      <c r="BR785" s="25"/>
      <c r="CF785" s="27"/>
      <c r="CG785" s="27"/>
      <c r="CH785" s="27"/>
      <c r="CI785" s="27"/>
      <c r="CJ785" s="27"/>
      <c r="CK785" s="27"/>
    </row>
    <row r="786" ht="14.25" customHeight="1">
      <c r="A786" s="118"/>
      <c r="B786" s="118"/>
      <c r="C786" s="118"/>
      <c r="D786" s="119"/>
      <c r="E786" s="119"/>
      <c r="F786" s="118"/>
      <c r="G786" s="118"/>
      <c r="H786" s="118"/>
      <c r="I786" s="118"/>
      <c r="AF786" s="22"/>
      <c r="AG786" s="22"/>
      <c r="AH786" s="22"/>
      <c r="AI786" s="22"/>
      <c r="AJ786" s="22"/>
      <c r="AK786" s="23"/>
      <c r="AN786" s="24"/>
      <c r="AO786" s="24"/>
      <c r="AX786" s="25"/>
      <c r="BR786" s="25"/>
      <c r="CF786" s="27"/>
      <c r="CG786" s="27"/>
      <c r="CH786" s="27"/>
      <c r="CI786" s="27"/>
      <c r="CJ786" s="27"/>
      <c r="CK786" s="27"/>
    </row>
    <row r="787" ht="14.25" customHeight="1">
      <c r="A787" s="118"/>
      <c r="B787" s="118"/>
      <c r="C787" s="118"/>
      <c r="D787" s="119"/>
      <c r="E787" s="119"/>
      <c r="F787" s="118"/>
      <c r="G787" s="118"/>
      <c r="H787" s="118"/>
      <c r="I787" s="118"/>
      <c r="AF787" s="22"/>
      <c r="AG787" s="22"/>
      <c r="AH787" s="22"/>
      <c r="AI787" s="22"/>
      <c r="AJ787" s="22"/>
      <c r="AK787" s="23"/>
      <c r="AN787" s="24"/>
      <c r="AO787" s="24"/>
      <c r="AX787" s="25"/>
      <c r="BR787" s="25"/>
      <c r="CF787" s="27"/>
      <c r="CG787" s="27"/>
      <c r="CH787" s="27"/>
      <c r="CI787" s="27"/>
      <c r="CJ787" s="27"/>
      <c r="CK787" s="27"/>
    </row>
    <row r="788" ht="14.25" customHeight="1">
      <c r="A788" s="118"/>
      <c r="B788" s="118"/>
      <c r="C788" s="118"/>
      <c r="D788" s="119"/>
      <c r="E788" s="119"/>
      <c r="F788" s="118"/>
      <c r="G788" s="118"/>
      <c r="H788" s="118"/>
      <c r="I788" s="118"/>
      <c r="AF788" s="22"/>
      <c r="AG788" s="22"/>
      <c r="AH788" s="22"/>
      <c r="AI788" s="22"/>
      <c r="AJ788" s="22"/>
      <c r="AK788" s="23"/>
      <c r="AN788" s="24"/>
      <c r="AO788" s="24"/>
      <c r="AX788" s="25"/>
      <c r="BR788" s="25"/>
      <c r="CF788" s="27"/>
      <c r="CG788" s="27"/>
      <c r="CH788" s="27"/>
      <c r="CI788" s="27"/>
      <c r="CJ788" s="27"/>
      <c r="CK788" s="27"/>
    </row>
    <row r="789" ht="14.25" customHeight="1">
      <c r="A789" s="118"/>
      <c r="B789" s="118"/>
      <c r="C789" s="118"/>
      <c r="D789" s="119"/>
      <c r="E789" s="119"/>
      <c r="F789" s="118"/>
      <c r="G789" s="118"/>
      <c r="H789" s="118"/>
      <c r="I789" s="118"/>
      <c r="AF789" s="22"/>
      <c r="AG789" s="22"/>
      <c r="AH789" s="22"/>
      <c r="AI789" s="22"/>
      <c r="AJ789" s="22"/>
      <c r="AK789" s="23"/>
      <c r="AN789" s="24"/>
      <c r="AO789" s="24"/>
      <c r="AX789" s="25"/>
      <c r="BR789" s="25"/>
      <c r="CF789" s="27"/>
      <c r="CG789" s="27"/>
      <c r="CH789" s="27"/>
      <c r="CI789" s="27"/>
      <c r="CJ789" s="27"/>
      <c r="CK789" s="27"/>
    </row>
    <row r="790" ht="14.25" customHeight="1">
      <c r="A790" s="118"/>
      <c r="B790" s="118"/>
      <c r="C790" s="118"/>
      <c r="D790" s="119"/>
      <c r="E790" s="119"/>
      <c r="F790" s="118"/>
      <c r="G790" s="118"/>
      <c r="H790" s="118"/>
      <c r="I790" s="118"/>
      <c r="AF790" s="22"/>
      <c r="AG790" s="22"/>
      <c r="AH790" s="22"/>
      <c r="AI790" s="22"/>
      <c r="AJ790" s="22"/>
      <c r="AK790" s="23"/>
      <c r="AN790" s="24"/>
      <c r="AO790" s="24"/>
      <c r="AX790" s="25"/>
      <c r="BR790" s="25"/>
      <c r="CF790" s="27"/>
      <c r="CG790" s="27"/>
      <c r="CH790" s="27"/>
      <c r="CI790" s="27"/>
      <c r="CJ790" s="27"/>
      <c r="CK790" s="27"/>
    </row>
    <row r="791" ht="14.25" customHeight="1">
      <c r="A791" s="118"/>
      <c r="B791" s="118"/>
      <c r="C791" s="118"/>
      <c r="D791" s="119"/>
      <c r="E791" s="119"/>
      <c r="F791" s="118"/>
      <c r="G791" s="118"/>
      <c r="H791" s="118"/>
      <c r="I791" s="118"/>
      <c r="AF791" s="22"/>
      <c r="AG791" s="22"/>
      <c r="AH791" s="22"/>
      <c r="AI791" s="22"/>
      <c r="AJ791" s="22"/>
      <c r="AK791" s="23"/>
      <c r="AN791" s="24"/>
      <c r="AO791" s="24"/>
      <c r="AX791" s="25"/>
      <c r="BR791" s="25"/>
      <c r="CF791" s="27"/>
      <c r="CG791" s="27"/>
      <c r="CH791" s="27"/>
      <c r="CI791" s="27"/>
      <c r="CJ791" s="27"/>
      <c r="CK791" s="27"/>
    </row>
    <row r="792" ht="14.25" customHeight="1">
      <c r="A792" s="118"/>
      <c r="B792" s="118"/>
      <c r="C792" s="118"/>
      <c r="D792" s="119"/>
      <c r="E792" s="119"/>
      <c r="F792" s="118"/>
      <c r="G792" s="118"/>
      <c r="H792" s="118"/>
      <c r="I792" s="118"/>
      <c r="AF792" s="22"/>
      <c r="AG792" s="22"/>
      <c r="AH792" s="22"/>
      <c r="AI792" s="22"/>
      <c r="AJ792" s="22"/>
      <c r="AK792" s="23"/>
      <c r="AN792" s="24"/>
      <c r="AO792" s="24"/>
      <c r="AX792" s="25"/>
      <c r="BR792" s="25"/>
      <c r="CF792" s="27"/>
      <c r="CG792" s="27"/>
      <c r="CH792" s="27"/>
      <c r="CI792" s="27"/>
      <c r="CJ792" s="27"/>
      <c r="CK792" s="27"/>
    </row>
    <row r="793" ht="14.25" customHeight="1">
      <c r="A793" s="118"/>
      <c r="B793" s="118"/>
      <c r="C793" s="118"/>
      <c r="D793" s="119"/>
      <c r="E793" s="119"/>
      <c r="F793" s="118"/>
      <c r="G793" s="118"/>
      <c r="H793" s="118"/>
      <c r="I793" s="118"/>
      <c r="AF793" s="22"/>
      <c r="AG793" s="22"/>
      <c r="AH793" s="22"/>
      <c r="AI793" s="22"/>
      <c r="AJ793" s="22"/>
      <c r="AK793" s="23"/>
      <c r="AN793" s="24"/>
      <c r="AO793" s="24"/>
      <c r="AX793" s="25"/>
      <c r="BR793" s="25"/>
      <c r="CF793" s="27"/>
      <c r="CG793" s="27"/>
      <c r="CH793" s="27"/>
      <c r="CI793" s="27"/>
      <c r="CJ793" s="27"/>
      <c r="CK793" s="27"/>
    </row>
    <row r="794" ht="14.25" customHeight="1">
      <c r="A794" s="118"/>
      <c r="B794" s="118"/>
      <c r="C794" s="118"/>
      <c r="D794" s="119"/>
      <c r="E794" s="119"/>
      <c r="F794" s="118"/>
      <c r="G794" s="118"/>
      <c r="H794" s="118"/>
      <c r="I794" s="118"/>
      <c r="AF794" s="22"/>
      <c r="AG794" s="22"/>
      <c r="AH794" s="22"/>
      <c r="AI794" s="22"/>
      <c r="AJ794" s="22"/>
      <c r="AK794" s="23"/>
      <c r="AN794" s="24"/>
      <c r="AO794" s="24"/>
      <c r="AX794" s="25"/>
      <c r="BR794" s="25"/>
      <c r="CF794" s="27"/>
      <c r="CG794" s="27"/>
      <c r="CH794" s="27"/>
      <c r="CI794" s="27"/>
      <c r="CJ794" s="27"/>
      <c r="CK794" s="27"/>
    </row>
    <row r="795" ht="14.25" customHeight="1">
      <c r="A795" s="118"/>
      <c r="B795" s="118"/>
      <c r="C795" s="118"/>
      <c r="D795" s="119"/>
      <c r="E795" s="119"/>
      <c r="F795" s="118"/>
      <c r="G795" s="118"/>
      <c r="H795" s="118"/>
      <c r="I795" s="118"/>
      <c r="AF795" s="22"/>
      <c r="AG795" s="22"/>
      <c r="AH795" s="22"/>
      <c r="AI795" s="22"/>
      <c r="AJ795" s="22"/>
      <c r="AK795" s="23"/>
      <c r="AN795" s="24"/>
      <c r="AO795" s="24"/>
      <c r="AX795" s="25"/>
      <c r="BR795" s="25"/>
      <c r="CF795" s="27"/>
      <c r="CG795" s="27"/>
      <c r="CH795" s="27"/>
      <c r="CI795" s="27"/>
      <c r="CJ795" s="27"/>
      <c r="CK795" s="27"/>
    </row>
    <row r="796" ht="14.25" customHeight="1">
      <c r="A796" s="118"/>
      <c r="B796" s="118"/>
      <c r="C796" s="118"/>
      <c r="D796" s="119"/>
      <c r="E796" s="119"/>
      <c r="F796" s="118"/>
      <c r="G796" s="118"/>
      <c r="H796" s="118"/>
      <c r="I796" s="118"/>
      <c r="AF796" s="22"/>
      <c r="AG796" s="22"/>
      <c r="AH796" s="22"/>
      <c r="AI796" s="22"/>
      <c r="AJ796" s="22"/>
      <c r="AK796" s="23"/>
      <c r="AN796" s="24"/>
      <c r="AO796" s="24"/>
      <c r="AX796" s="25"/>
      <c r="BR796" s="25"/>
      <c r="CF796" s="27"/>
      <c r="CG796" s="27"/>
      <c r="CH796" s="27"/>
      <c r="CI796" s="27"/>
      <c r="CJ796" s="27"/>
      <c r="CK796" s="27"/>
    </row>
    <row r="797" ht="14.25" customHeight="1">
      <c r="A797" s="118"/>
      <c r="B797" s="118"/>
      <c r="C797" s="118"/>
      <c r="D797" s="119"/>
      <c r="E797" s="119"/>
      <c r="F797" s="118"/>
      <c r="G797" s="118"/>
      <c r="H797" s="118"/>
      <c r="I797" s="118"/>
      <c r="AF797" s="22"/>
      <c r="AG797" s="22"/>
      <c r="AH797" s="22"/>
      <c r="AI797" s="22"/>
      <c r="AJ797" s="22"/>
      <c r="AK797" s="23"/>
      <c r="AN797" s="24"/>
      <c r="AO797" s="24"/>
      <c r="AX797" s="25"/>
      <c r="BR797" s="25"/>
      <c r="CF797" s="27"/>
      <c r="CG797" s="27"/>
      <c r="CH797" s="27"/>
      <c r="CI797" s="27"/>
      <c r="CJ797" s="27"/>
      <c r="CK797" s="27"/>
    </row>
    <row r="798" ht="14.25" customHeight="1">
      <c r="A798" s="118"/>
      <c r="B798" s="118"/>
      <c r="C798" s="118"/>
      <c r="D798" s="119"/>
      <c r="E798" s="119"/>
      <c r="F798" s="118"/>
      <c r="G798" s="118"/>
      <c r="H798" s="118"/>
      <c r="I798" s="118"/>
      <c r="AF798" s="22"/>
      <c r="AG798" s="22"/>
      <c r="AH798" s="22"/>
      <c r="AI798" s="22"/>
      <c r="AJ798" s="22"/>
      <c r="AK798" s="23"/>
      <c r="AN798" s="24"/>
      <c r="AO798" s="24"/>
      <c r="AX798" s="25"/>
      <c r="BR798" s="25"/>
      <c r="CF798" s="27"/>
      <c r="CG798" s="27"/>
      <c r="CH798" s="27"/>
      <c r="CI798" s="27"/>
      <c r="CJ798" s="27"/>
      <c r="CK798" s="27"/>
    </row>
    <row r="799" ht="14.25" customHeight="1">
      <c r="A799" s="118"/>
      <c r="B799" s="118"/>
      <c r="C799" s="118"/>
      <c r="D799" s="119"/>
      <c r="E799" s="119"/>
      <c r="F799" s="118"/>
      <c r="G799" s="118"/>
      <c r="H799" s="118"/>
      <c r="I799" s="118"/>
      <c r="AF799" s="22"/>
      <c r="AG799" s="22"/>
      <c r="AH799" s="22"/>
      <c r="AI799" s="22"/>
      <c r="AJ799" s="22"/>
      <c r="AK799" s="23"/>
      <c r="AN799" s="24"/>
      <c r="AO799" s="24"/>
      <c r="AX799" s="25"/>
      <c r="BR799" s="25"/>
      <c r="CF799" s="27"/>
      <c r="CG799" s="27"/>
      <c r="CH799" s="27"/>
      <c r="CI799" s="27"/>
      <c r="CJ799" s="27"/>
      <c r="CK799" s="27"/>
    </row>
    <row r="800" ht="14.25" customHeight="1">
      <c r="A800" s="118"/>
      <c r="B800" s="118"/>
      <c r="C800" s="118"/>
      <c r="D800" s="119"/>
      <c r="E800" s="119"/>
      <c r="F800" s="118"/>
      <c r="G800" s="118"/>
      <c r="H800" s="118"/>
      <c r="I800" s="118"/>
      <c r="AF800" s="22"/>
      <c r="AG800" s="22"/>
      <c r="AH800" s="22"/>
      <c r="AI800" s="22"/>
      <c r="AJ800" s="22"/>
      <c r="AK800" s="23"/>
      <c r="AN800" s="24"/>
      <c r="AO800" s="24"/>
      <c r="AX800" s="25"/>
      <c r="BR800" s="25"/>
      <c r="CF800" s="27"/>
      <c r="CG800" s="27"/>
      <c r="CH800" s="27"/>
      <c r="CI800" s="27"/>
      <c r="CJ800" s="27"/>
      <c r="CK800" s="27"/>
    </row>
    <row r="801" ht="14.25" customHeight="1">
      <c r="A801" s="118"/>
      <c r="B801" s="118"/>
      <c r="C801" s="118"/>
      <c r="D801" s="119"/>
      <c r="E801" s="119"/>
      <c r="F801" s="118"/>
      <c r="G801" s="118"/>
      <c r="H801" s="118"/>
      <c r="I801" s="118"/>
      <c r="AF801" s="22"/>
      <c r="AG801" s="22"/>
      <c r="AH801" s="22"/>
      <c r="AI801" s="22"/>
      <c r="AJ801" s="22"/>
      <c r="AK801" s="23"/>
      <c r="AN801" s="24"/>
      <c r="AO801" s="24"/>
      <c r="AX801" s="25"/>
      <c r="BR801" s="25"/>
      <c r="CF801" s="27"/>
      <c r="CG801" s="27"/>
      <c r="CH801" s="27"/>
      <c r="CI801" s="27"/>
      <c r="CJ801" s="27"/>
      <c r="CK801" s="27"/>
    </row>
    <row r="802" ht="14.25" customHeight="1">
      <c r="A802" s="118"/>
      <c r="B802" s="118"/>
      <c r="C802" s="118"/>
      <c r="D802" s="119"/>
      <c r="E802" s="119"/>
      <c r="F802" s="118"/>
      <c r="G802" s="118"/>
      <c r="H802" s="118"/>
      <c r="I802" s="118"/>
      <c r="AF802" s="22"/>
      <c r="AG802" s="22"/>
      <c r="AH802" s="22"/>
      <c r="AI802" s="22"/>
      <c r="AJ802" s="22"/>
      <c r="AK802" s="23"/>
      <c r="AN802" s="24"/>
      <c r="AO802" s="24"/>
      <c r="AX802" s="25"/>
      <c r="BR802" s="25"/>
      <c r="CF802" s="27"/>
      <c r="CG802" s="27"/>
      <c r="CH802" s="27"/>
      <c r="CI802" s="27"/>
      <c r="CJ802" s="27"/>
      <c r="CK802" s="27"/>
    </row>
    <row r="803" ht="14.25" customHeight="1">
      <c r="A803" s="118"/>
      <c r="B803" s="118"/>
      <c r="C803" s="118"/>
      <c r="D803" s="119"/>
      <c r="E803" s="119"/>
      <c r="F803" s="118"/>
      <c r="G803" s="118"/>
      <c r="H803" s="118"/>
      <c r="I803" s="118"/>
      <c r="AF803" s="22"/>
      <c r="AG803" s="22"/>
      <c r="AH803" s="22"/>
      <c r="AI803" s="22"/>
      <c r="AJ803" s="22"/>
      <c r="AK803" s="23"/>
      <c r="AN803" s="24"/>
      <c r="AO803" s="24"/>
      <c r="AX803" s="25"/>
      <c r="BR803" s="25"/>
      <c r="CF803" s="27"/>
      <c r="CG803" s="27"/>
      <c r="CH803" s="27"/>
      <c r="CI803" s="27"/>
      <c r="CJ803" s="27"/>
      <c r="CK803" s="27"/>
    </row>
    <row r="804" ht="14.25" customHeight="1">
      <c r="A804" s="118"/>
      <c r="B804" s="118"/>
      <c r="C804" s="118"/>
      <c r="D804" s="119"/>
      <c r="E804" s="119"/>
      <c r="F804" s="118"/>
      <c r="G804" s="118"/>
      <c r="H804" s="118"/>
      <c r="I804" s="118"/>
      <c r="AF804" s="22"/>
      <c r="AG804" s="22"/>
      <c r="AH804" s="22"/>
      <c r="AI804" s="22"/>
      <c r="AJ804" s="22"/>
      <c r="AK804" s="23"/>
      <c r="AN804" s="24"/>
      <c r="AO804" s="24"/>
      <c r="AX804" s="25"/>
      <c r="BR804" s="25"/>
      <c r="CF804" s="27"/>
      <c r="CG804" s="27"/>
      <c r="CH804" s="27"/>
      <c r="CI804" s="27"/>
      <c r="CJ804" s="27"/>
      <c r="CK804" s="27"/>
    </row>
    <row r="805" ht="14.25" customHeight="1">
      <c r="A805" s="118"/>
      <c r="B805" s="118"/>
      <c r="C805" s="118"/>
      <c r="D805" s="119"/>
      <c r="E805" s="119"/>
      <c r="F805" s="118"/>
      <c r="G805" s="118"/>
      <c r="H805" s="118"/>
      <c r="I805" s="118"/>
      <c r="AF805" s="22"/>
      <c r="AG805" s="22"/>
      <c r="AH805" s="22"/>
      <c r="AI805" s="22"/>
      <c r="AJ805" s="22"/>
      <c r="AK805" s="23"/>
      <c r="AN805" s="24"/>
      <c r="AO805" s="24"/>
      <c r="AX805" s="25"/>
      <c r="BR805" s="25"/>
      <c r="CF805" s="27"/>
      <c r="CG805" s="27"/>
      <c r="CH805" s="27"/>
      <c r="CI805" s="27"/>
      <c r="CJ805" s="27"/>
      <c r="CK805" s="27"/>
    </row>
    <row r="806" ht="14.25" customHeight="1">
      <c r="A806" s="118"/>
      <c r="B806" s="118"/>
      <c r="C806" s="118"/>
      <c r="D806" s="119"/>
      <c r="E806" s="119"/>
      <c r="F806" s="118"/>
      <c r="G806" s="118"/>
      <c r="H806" s="118"/>
      <c r="I806" s="118"/>
      <c r="AF806" s="22"/>
      <c r="AG806" s="22"/>
      <c r="AH806" s="22"/>
      <c r="AI806" s="22"/>
      <c r="AJ806" s="22"/>
      <c r="AK806" s="23"/>
      <c r="AN806" s="24"/>
      <c r="AO806" s="24"/>
      <c r="AX806" s="25"/>
      <c r="BR806" s="25"/>
      <c r="CF806" s="27"/>
      <c r="CG806" s="27"/>
      <c r="CH806" s="27"/>
      <c r="CI806" s="27"/>
      <c r="CJ806" s="27"/>
      <c r="CK806" s="27"/>
    </row>
    <row r="807" ht="14.25" customHeight="1">
      <c r="A807" s="118"/>
      <c r="B807" s="118"/>
      <c r="C807" s="118"/>
      <c r="D807" s="119"/>
      <c r="E807" s="119"/>
      <c r="F807" s="118"/>
      <c r="G807" s="118"/>
      <c r="H807" s="118"/>
      <c r="I807" s="118"/>
      <c r="AF807" s="22"/>
      <c r="AG807" s="22"/>
      <c r="AH807" s="22"/>
      <c r="AI807" s="22"/>
      <c r="AJ807" s="22"/>
      <c r="AK807" s="23"/>
      <c r="AN807" s="24"/>
      <c r="AO807" s="24"/>
      <c r="AX807" s="25"/>
      <c r="BR807" s="25"/>
      <c r="CF807" s="27"/>
      <c r="CG807" s="27"/>
      <c r="CH807" s="27"/>
      <c r="CI807" s="27"/>
      <c r="CJ807" s="27"/>
      <c r="CK807" s="27"/>
    </row>
    <row r="808" ht="14.25" customHeight="1">
      <c r="A808" s="118"/>
      <c r="B808" s="118"/>
      <c r="C808" s="118"/>
      <c r="D808" s="119"/>
      <c r="E808" s="119"/>
      <c r="F808" s="118"/>
      <c r="G808" s="118"/>
      <c r="H808" s="118"/>
      <c r="I808" s="118"/>
      <c r="AF808" s="22"/>
      <c r="AG808" s="22"/>
      <c r="AH808" s="22"/>
      <c r="AI808" s="22"/>
      <c r="AJ808" s="22"/>
      <c r="AK808" s="23"/>
      <c r="AN808" s="24"/>
      <c r="AO808" s="24"/>
      <c r="AX808" s="25"/>
      <c r="BR808" s="25"/>
      <c r="CF808" s="27"/>
      <c r="CG808" s="27"/>
      <c r="CH808" s="27"/>
      <c r="CI808" s="27"/>
      <c r="CJ808" s="27"/>
      <c r="CK808" s="27"/>
    </row>
    <row r="809" ht="14.25" customHeight="1">
      <c r="A809" s="118"/>
      <c r="B809" s="118"/>
      <c r="C809" s="118"/>
      <c r="D809" s="119"/>
      <c r="E809" s="119"/>
      <c r="F809" s="118"/>
      <c r="G809" s="118"/>
      <c r="H809" s="118"/>
      <c r="I809" s="118"/>
      <c r="AF809" s="22"/>
      <c r="AG809" s="22"/>
      <c r="AH809" s="22"/>
      <c r="AI809" s="22"/>
      <c r="AJ809" s="22"/>
      <c r="AK809" s="23"/>
      <c r="AN809" s="24"/>
      <c r="AO809" s="24"/>
      <c r="AX809" s="25"/>
      <c r="BR809" s="25"/>
      <c r="CF809" s="27"/>
      <c r="CG809" s="27"/>
      <c r="CH809" s="27"/>
      <c r="CI809" s="27"/>
      <c r="CJ809" s="27"/>
      <c r="CK809" s="27"/>
    </row>
    <row r="810" ht="14.25" customHeight="1">
      <c r="A810" s="118"/>
      <c r="B810" s="118"/>
      <c r="C810" s="118"/>
      <c r="D810" s="119"/>
      <c r="E810" s="119"/>
      <c r="F810" s="118"/>
      <c r="G810" s="118"/>
      <c r="H810" s="118"/>
      <c r="I810" s="118"/>
      <c r="AF810" s="22"/>
      <c r="AG810" s="22"/>
      <c r="AH810" s="22"/>
      <c r="AI810" s="22"/>
      <c r="AJ810" s="22"/>
      <c r="AK810" s="23"/>
      <c r="AN810" s="24"/>
      <c r="AO810" s="24"/>
      <c r="AX810" s="25"/>
      <c r="BR810" s="25"/>
      <c r="CF810" s="27"/>
      <c r="CG810" s="27"/>
      <c r="CH810" s="27"/>
      <c r="CI810" s="27"/>
      <c r="CJ810" s="27"/>
      <c r="CK810" s="27"/>
    </row>
    <row r="811" ht="14.25" customHeight="1">
      <c r="A811" s="118"/>
      <c r="B811" s="118"/>
      <c r="C811" s="118"/>
      <c r="D811" s="119"/>
      <c r="E811" s="119"/>
      <c r="F811" s="118"/>
      <c r="G811" s="118"/>
      <c r="H811" s="118"/>
      <c r="I811" s="118"/>
      <c r="AF811" s="22"/>
      <c r="AG811" s="22"/>
      <c r="AH811" s="22"/>
      <c r="AI811" s="22"/>
      <c r="AJ811" s="22"/>
      <c r="AK811" s="23"/>
      <c r="AN811" s="24"/>
      <c r="AO811" s="24"/>
      <c r="AX811" s="25"/>
      <c r="BR811" s="25"/>
      <c r="CF811" s="27"/>
      <c r="CG811" s="27"/>
      <c r="CH811" s="27"/>
      <c r="CI811" s="27"/>
      <c r="CJ811" s="27"/>
      <c r="CK811" s="27"/>
    </row>
    <row r="812" ht="14.25" customHeight="1">
      <c r="A812" s="118"/>
      <c r="B812" s="118"/>
      <c r="C812" s="118"/>
      <c r="D812" s="119"/>
      <c r="E812" s="119"/>
      <c r="F812" s="118"/>
      <c r="G812" s="118"/>
      <c r="H812" s="118"/>
      <c r="I812" s="118"/>
      <c r="AF812" s="22"/>
      <c r="AG812" s="22"/>
      <c r="AH812" s="22"/>
      <c r="AI812" s="22"/>
      <c r="AJ812" s="22"/>
      <c r="AK812" s="23"/>
      <c r="AN812" s="24"/>
      <c r="AO812" s="24"/>
      <c r="AX812" s="25"/>
      <c r="BR812" s="25"/>
      <c r="CF812" s="27"/>
      <c r="CG812" s="27"/>
      <c r="CH812" s="27"/>
      <c r="CI812" s="27"/>
      <c r="CJ812" s="27"/>
      <c r="CK812" s="27"/>
    </row>
    <row r="813" ht="14.25" customHeight="1">
      <c r="A813" s="118"/>
      <c r="B813" s="118"/>
      <c r="C813" s="118"/>
      <c r="D813" s="119"/>
      <c r="E813" s="119"/>
      <c r="F813" s="118"/>
      <c r="G813" s="118"/>
      <c r="H813" s="118"/>
      <c r="I813" s="118"/>
      <c r="AF813" s="22"/>
      <c r="AG813" s="22"/>
      <c r="AH813" s="22"/>
      <c r="AI813" s="22"/>
      <c r="AJ813" s="22"/>
      <c r="AK813" s="23"/>
      <c r="AN813" s="24"/>
      <c r="AO813" s="24"/>
      <c r="AX813" s="25"/>
      <c r="BR813" s="25"/>
      <c r="CF813" s="27"/>
      <c r="CG813" s="27"/>
      <c r="CH813" s="27"/>
      <c r="CI813" s="27"/>
      <c r="CJ813" s="27"/>
      <c r="CK813" s="27"/>
    </row>
    <row r="814" ht="14.25" customHeight="1">
      <c r="A814" s="118"/>
      <c r="B814" s="118"/>
      <c r="C814" s="118"/>
      <c r="D814" s="119"/>
      <c r="E814" s="119"/>
      <c r="F814" s="118"/>
      <c r="G814" s="118"/>
      <c r="H814" s="118"/>
      <c r="I814" s="118"/>
      <c r="AF814" s="22"/>
      <c r="AG814" s="22"/>
      <c r="AH814" s="22"/>
      <c r="AI814" s="22"/>
      <c r="AJ814" s="22"/>
      <c r="AK814" s="23"/>
      <c r="AN814" s="24"/>
      <c r="AO814" s="24"/>
      <c r="AX814" s="25"/>
      <c r="BR814" s="25"/>
      <c r="CF814" s="27"/>
      <c r="CG814" s="27"/>
      <c r="CH814" s="27"/>
      <c r="CI814" s="27"/>
      <c r="CJ814" s="27"/>
      <c r="CK814" s="27"/>
    </row>
    <row r="815" ht="14.25" customHeight="1">
      <c r="A815" s="118"/>
      <c r="B815" s="118"/>
      <c r="C815" s="118"/>
      <c r="D815" s="119"/>
      <c r="E815" s="119"/>
      <c r="F815" s="118"/>
      <c r="G815" s="118"/>
      <c r="H815" s="118"/>
      <c r="I815" s="118"/>
      <c r="AF815" s="22"/>
      <c r="AG815" s="22"/>
      <c r="AH815" s="22"/>
      <c r="AI815" s="22"/>
      <c r="AJ815" s="22"/>
      <c r="AK815" s="23"/>
      <c r="AN815" s="24"/>
      <c r="AO815" s="24"/>
      <c r="AX815" s="25"/>
      <c r="BR815" s="25"/>
      <c r="CF815" s="27"/>
      <c r="CG815" s="27"/>
      <c r="CH815" s="27"/>
      <c r="CI815" s="27"/>
      <c r="CJ815" s="27"/>
      <c r="CK815" s="27"/>
    </row>
    <row r="816" ht="14.25" customHeight="1">
      <c r="A816" s="118"/>
      <c r="B816" s="118"/>
      <c r="C816" s="118"/>
      <c r="D816" s="119"/>
      <c r="E816" s="119"/>
      <c r="F816" s="118"/>
      <c r="G816" s="118"/>
      <c r="H816" s="118"/>
      <c r="I816" s="118"/>
      <c r="AF816" s="22"/>
      <c r="AG816" s="22"/>
      <c r="AH816" s="22"/>
      <c r="AI816" s="22"/>
      <c r="AJ816" s="22"/>
      <c r="AK816" s="23"/>
      <c r="AN816" s="24"/>
      <c r="AO816" s="24"/>
      <c r="AX816" s="25"/>
      <c r="BR816" s="25"/>
      <c r="CF816" s="27"/>
      <c r="CG816" s="27"/>
      <c r="CH816" s="27"/>
      <c r="CI816" s="27"/>
      <c r="CJ816" s="27"/>
      <c r="CK816" s="27"/>
    </row>
    <row r="817" ht="14.25" customHeight="1">
      <c r="A817" s="118"/>
      <c r="B817" s="118"/>
      <c r="C817" s="118"/>
      <c r="D817" s="119"/>
      <c r="E817" s="119"/>
      <c r="F817" s="118"/>
      <c r="G817" s="118"/>
      <c r="H817" s="118"/>
      <c r="I817" s="118"/>
      <c r="AF817" s="22"/>
      <c r="AG817" s="22"/>
      <c r="AH817" s="22"/>
      <c r="AI817" s="22"/>
      <c r="AJ817" s="22"/>
      <c r="AK817" s="23"/>
      <c r="AN817" s="24"/>
      <c r="AO817" s="24"/>
      <c r="AX817" s="25"/>
      <c r="BR817" s="25"/>
      <c r="CF817" s="27"/>
      <c r="CG817" s="27"/>
      <c r="CH817" s="27"/>
      <c r="CI817" s="27"/>
      <c r="CJ817" s="27"/>
      <c r="CK817" s="27"/>
    </row>
    <row r="818" ht="14.25" customHeight="1">
      <c r="A818" s="118"/>
      <c r="B818" s="118"/>
      <c r="C818" s="118"/>
      <c r="D818" s="119"/>
      <c r="E818" s="119"/>
      <c r="F818" s="118"/>
      <c r="G818" s="118"/>
      <c r="H818" s="118"/>
      <c r="I818" s="118"/>
      <c r="AF818" s="22"/>
      <c r="AG818" s="22"/>
      <c r="AH818" s="22"/>
      <c r="AI818" s="22"/>
      <c r="AJ818" s="22"/>
      <c r="AK818" s="23"/>
      <c r="AN818" s="24"/>
      <c r="AO818" s="24"/>
      <c r="AX818" s="25"/>
      <c r="BR818" s="25"/>
      <c r="CF818" s="27"/>
      <c r="CG818" s="27"/>
      <c r="CH818" s="27"/>
      <c r="CI818" s="27"/>
      <c r="CJ818" s="27"/>
      <c r="CK818" s="27"/>
    </row>
    <row r="819" ht="14.25" customHeight="1">
      <c r="A819" s="118"/>
      <c r="B819" s="118"/>
      <c r="C819" s="118"/>
      <c r="D819" s="119"/>
      <c r="E819" s="119"/>
      <c r="F819" s="118"/>
      <c r="G819" s="118"/>
      <c r="H819" s="118"/>
      <c r="I819" s="118"/>
      <c r="AF819" s="22"/>
      <c r="AG819" s="22"/>
      <c r="AH819" s="22"/>
      <c r="AI819" s="22"/>
      <c r="AJ819" s="22"/>
      <c r="AK819" s="23"/>
      <c r="AN819" s="24"/>
      <c r="AO819" s="24"/>
      <c r="AX819" s="25"/>
      <c r="BR819" s="25"/>
      <c r="CF819" s="27"/>
      <c r="CG819" s="27"/>
      <c r="CH819" s="27"/>
      <c r="CI819" s="27"/>
      <c r="CJ819" s="27"/>
      <c r="CK819" s="27"/>
    </row>
    <row r="820" ht="14.25" customHeight="1">
      <c r="A820" s="118"/>
      <c r="B820" s="118"/>
      <c r="C820" s="118"/>
      <c r="D820" s="119"/>
      <c r="E820" s="119"/>
      <c r="F820" s="118"/>
      <c r="G820" s="118"/>
      <c r="H820" s="118"/>
      <c r="I820" s="118"/>
      <c r="AF820" s="22"/>
      <c r="AG820" s="22"/>
      <c r="AH820" s="22"/>
      <c r="AI820" s="22"/>
      <c r="AJ820" s="22"/>
      <c r="AK820" s="23"/>
      <c r="AN820" s="24"/>
      <c r="AO820" s="24"/>
      <c r="AX820" s="25"/>
      <c r="BR820" s="25"/>
      <c r="CF820" s="27"/>
      <c r="CG820" s="27"/>
      <c r="CH820" s="27"/>
      <c r="CI820" s="27"/>
      <c r="CJ820" s="27"/>
      <c r="CK820" s="27"/>
    </row>
    <row r="821" ht="14.25" customHeight="1">
      <c r="A821" s="118"/>
      <c r="B821" s="118"/>
      <c r="C821" s="118"/>
      <c r="D821" s="119"/>
      <c r="E821" s="119"/>
      <c r="F821" s="118"/>
      <c r="G821" s="118"/>
      <c r="H821" s="118"/>
      <c r="I821" s="118"/>
      <c r="AF821" s="22"/>
      <c r="AG821" s="22"/>
      <c r="AH821" s="22"/>
      <c r="AI821" s="22"/>
      <c r="AJ821" s="22"/>
      <c r="AK821" s="23"/>
      <c r="AN821" s="24"/>
      <c r="AO821" s="24"/>
      <c r="AX821" s="25"/>
      <c r="BR821" s="25"/>
      <c r="CF821" s="27"/>
      <c r="CG821" s="27"/>
      <c r="CH821" s="27"/>
      <c r="CI821" s="27"/>
      <c r="CJ821" s="27"/>
      <c r="CK821" s="27"/>
    </row>
    <row r="822" ht="14.25" customHeight="1">
      <c r="A822" s="118"/>
      <c r="B822" s="118"/>
      <c r="C822" s="118"/>
      <c r="D822" s="119"/>
      <c r="E822" s="119"/>
      <c r="F822" s="118"/>
      <c r="G822" s="118"/>
      <c r="H822" s="118"/>
      <c r="I822" s="118"/>
      <c r="AF822" s="22"/>
      <c r="AG822" s="22"/>
      <c r="AH822" s="22"/>
      <c r="AI822" s="22"/>
      <c r="AJ822" s="22"/>
      <c r="AK822" s="23"/>
      <c r="AN822" s="24"/>
      <c r="AO822" s="24"/>
      <c r="AX822" s="25"/>
      <c r="BR822" s="25"/>
      <c r="CF822" s="27"/>
      <c r="CG822" s="27"/>
      <c r="CH822" s="27"/>
      <c r="CI822" s="27"/>
      <c r="CJ822" s="27"/>
      <c r="CK822" s="27"/>
    </row>
    <row r="823" ht="14.25" customHeight="1">
      <c r="A823" s="118"/>
      <c r="B823" s="118"/>
      <c r="C823" s="118"/>
      <c r="D823" s="119"/>
      <c r="E823" s="119"/>
      <c r="F823" s="118"/>
      <c r="G823" s="118"/>
      <c r="H823" s="118"/>
      <c r="I823" s="118"/>
      <c r="AF823" s="22"/>
      <c r="AG823" s="22"/>
      <c r="AH823" s="22"/>
      <c r="AI823" s="22"/>
      <c r="AJ823" s="22"/>
      <c r="AK823" s="23"/>
      <c r="AN823" s="24"/>
      <c r="AO823" s="24"/>
      <c r="AX823" s="25"/>
      <c r="BR823" s="25"/>
      <c r="CF823" s="27"/>
      <c r="CG823" s="27"/>
      <c r="CH823" s="27"/>
      <c r="CI823" s="27"/>
      <c r="CJ823" s="27"/>
      <c r="CK823" s="27"/>
    </row>
    <row r="824" ht="14.25" customHeight="1">
      <c r="A824" s="118"/>
      <c r="B824" s="118"/>
      <c r="C824" s="118"/>
      <c r="D824" s="119"/>
      <c r="E824" s="119"/>
      <c r="F824" s="118"/>
      <c r="G824" s="118"/>
      <c r="H824" s="118"/>
      <c r="I824" s="118"/>
      <c r="AF824" s="22"/>
      <c r="AG824" s="22"/>
      <c r="AH824" s="22"/>
      <c r="AI824" s="22"/>
      <c r="AJ824" s="22"/>
      <c r="AK824" s="23"/>
      <c r="AN824" s="24"/>
      <c r="AO824" s="24"/>
      <c r="AX824" s="25"/>
      <c r="BR824" s="25"/>
      <c r="CF824" s="27"/>
      <c r="CG824" s="27"/>
      <c r="CH824" s="27"/>
      <c r="CI824" s="27"/>
      <c r="CJ824" s="27"/>
      <c r="CK824" s="27"/>
    </row>
    <row r="825" ht="14.25" customHeight="1">
      <c r="A825" s="118"/>
      <c r="B825" s="118"/>
      <c r="C825" s="118"/>
      <c r="D825" s="119"/>
      <c r="E825" s="119"/>
      <c r="F825" s="118"/>
      <c r="G825" s="118"/>
      <c r="H825" s="118"/>
      <c r="I825" s="118"/>
      <c r="AF825" s="22"/>
      <c r="AG825" s="22"/>
      <c r="AH825" s="22"/>
      <c r="AI825" s="22"/>
      <c r="AJ825" s="22"/>
      <c r="AK825" s="23"/>
      <c r="AN825" s="24"/>
      <c r="AO825" s="24"/>
      <c r="AX825" s="25"/>
      <c r="BR825" s="25"/>
      <c r="CF825" s="27"/>
      <c r="CG825" s="27"/>
      <c r="CH825" s="27"/>
      <c r="CI825" s="27"/>
      <c r="CJ825" s="27"/>
      <c r="CK825" s="27"/>
    </row>
    <row r="826" ht="14.25" customHeight="1">
      <c r="A826" s="118"/>
      <c r="B826" s="118"/>
      <c r="C826" s="118"/>
      <c r="D826" s="119"/>
      <c r="E826" s="119"/>
      <c r="F826" s="118"/>
      <c r="G826" s="118"/>
      <c r="H826" s="118"/>
      <c r="I826" s="118"/>
      <c r="AF826" s="22"/>
      <c r="AG826" s="22"/>
      <c r="AH826" s="22"/>
      <c r="AI826" s="22"/>
      <c r="AJ826" s="22"/>
      <c r="AK826" s="23"/>
      <c r="AN826" s="24"/>
      <c r="AO826" s="24"/>
      <c r="AX826" s="25"/>
      <c r="BR826" s="25"/>
      <c r="CF826" s="27"/>
      <c r="CG826" s="27"/>
      <c r="CH826" s="27"/>
      <c r="CI826" s="27"/>
      <c r="CJ826" s="27"/>
      <c r="CK826" s="27"/>
    </row>
    <row r="827" ht="14.25" customHeight="1">
      <c r="A827" s="118"/>
      <c r="B827" s="118"/>
      <c r="C827" s="118"/>
      <c r="D827" s="119"/>
      <c r="E827" s="119"/>
      <c r="F827" s="118"/>
      <c r="G827" s="118"/>
      <c r="H827" s="118"/>
      <c r="I827" s="118"/>
      <c r="AF827" s="22"/>
      <c r="AG827" s="22"/>
      <c r="AH827" s="22"/>
      <c r="AI827" s="22"/>
      <c r="AJ827" s="22"/>
      <c r="AK827" s="23"/>
      <c r="AN827" s="24"/>
      <c r="AO827" s="24"/>
      <c r="AX827" s="25"/>
      <c r="BR827" s="25"/>
      <c r="CF827" s="27"/>
      <c r="CG827" s="27"/>
      <c r="CH827" s="27"/>
      <c r="CI827" s="27"/>
      <c r="CJ827" s="27"/>
      <c r="CK827" s="27"/>
    </row>
    <row r="828" ht="14.25" customHeight="1">
      <c r="A828" s="118"/>
      <c r="B828" s="118"/>
      <c r="C828" s="118"/>
      <c r="D828" s="119"/>
      <c r="E828" s="119"/>
      <c r="F828" s="118"/>
      <c r="G828" s="118"/>
      <c r="H828" s="118"/>
      <c r="I828" s="118"/>
      <c r="AF828" s="22"/>
      <c r="AG828" s="22"/>
      <c r="AH828" s="22"/>
      <c r="AI828" s="22"/>
      <c r="AJ828" s="22"/>
      <c r="AK828" s="23"/>
      <c r="AN828" s="24"/>
      <c r="AO828" s="24"/>
      <c r="AX828" s="25"/>
      <c r="BR828" s="25"/>
      <c r="CF828" s="27"/>
      <c r="CG828" s="27"/>
      <c r="CH828" s="27"/>
      <c r="CI828" s="27"/>
      <c r="CJ828" s="27"/>
      <c r="CK828" s="27"/>
    </row>
    <row r="829" ht="14.25" customHeight="1">
      <c r="A829" s="118"/>
      <c r="B829" s="118"/>
      <c r="C829" s="118"/>
      <c r="D829" s="119"/>
      <c r="E829" s="119"/>
      <c r="F829" s="118"/>
      <c r="G829" s="118"/>
      <c r="H829" s="118"/>
      <c r="I829" s="118"/>
      <c r="AF829" s="22"/>
      <c r="AG829" s="22"/>
      <c r="AH829" s="22"/>
      <c r="AI829" s="22"/>
      <c r="AJ829" s="22"/>
      <c r="AK829" s="23"/>
      <c r="AN829" s="24"/>
      <c r="AO829" s="24"/>
      <c r="AX829" s="25"/>
      <c r="BR829" s="25"/>
      <c r="CF829" s="27"/>
      <c r="CG829" s="27"/>
      <c r="CH829" s="27"/>
      <c r="CI829" s="27"/>
      <c r="CJ829" s="27"/>
      <c r="CK829" s="27"/>
    </row>
    <row r="830" ht="14.25" customHeight="1">
      <c r="A830" s="118"/>
      <c r="B830" s="118"/>
      <c r="C830" s="118"/>
      <c r="D830" s="119"/>
      <c r="E830" s="119"/>
      <c r="F830" s="118"/>
      <c r="G830" s="118"/>
      <c r="H830" s="118"/>
      <c r="I830" s="118"/>
      <c r="AF830" s="22"/>
      <c r="AG830" s="22"/>
      <c r="AH830" s="22"/>
      <c r="AI830" s="22"/>
      <c r="AJ830" s="22"/>
      <c r="AK830" s="23"/>
      <c r="AN830" s="24"/>
      <c r="AO830" s="24"/>
      <c r="AX830" s="25"/>
      <c r="BR830" s="25"/>
      <c r="CF830" s="27"/>
      <c r="CG830" s="27"/>
      <c r="CH830" s="27"/>
      <c r="CI830" s="27"/>
      <c r="CJ830" s="27"/>
      <c r="CK830" s="27"/>
    </row>
    <row r="831" ht="14.25" customHeight="1">
      <c r="A831" s="118"/>
      <c r="B831" s="118"/>
      <c r="C831" s="118"/>
      <c r="D831" s="119"/>
      <c r="E831" s="119"/>
      <c r="F831" s="118"/>
      <c r="G831" s="118"/>
      <c r="H831" s="118"/>
      <c r="I831" s="118"/>
      <c r="AF831" s="22"/>
      <c r="AG831" s="22"/>
      <c r="AH831" s="22"/>
      <c r="AI831" s="22"/>
      <c r="AJ831" s="22"/>
      <c r="AK831" s="23"/>
      <c r="AN831" s="24"/>
      <c r="AO831" s="24"/>
      <c r="AX831" s="25"/>
      <c r="BR831" s="25"/>
      <c r="CF831" s="27"/>
      <c r="CG831" s="27"/>
      <c r="CH831" s="27"/>
      <c r="CI831" s="27"/>
      <c r="CJ831" s="27"/>
      <c r="CK831" s="27"/>
    </row>
    <row r="832" ht="14.25" customHeight="1">
      <c r="A832" s="118"/>
      <c r="B832" s="118"/>
      <c r="C832" s="118"/>
      <c r="D832" s="119"/>
      <c r="E832" s="119"/>
      <c r="F832" s="118"/>
      <c r="G832" s="118"/>
      <c r="H832" s="118"/>
      <c r="I832" s="118"/>
      <c r="AF832" s="22"/>
      <c r="AG832" s="22"/>
      <c r="AH832" s="22"/>
      <c r="AI832" s="22"/>
      <c r="AJ832" s="22"/>
      <c r="AK832" s="23"/>
      <c r="AN832" s="24"/>
      <c r="AO832" s="24"/>
      <c r="AX832" s="25"/>
      <c r="BR832" s="25"/>
      <c r="CF832" s="27"/>
      <c r="CG832" s="27"/>
      <c r="CH832" s="27"/>
      <c r="CI832" s="27"/>
      <c r="CJ832" s="27"/>
      <c r="CK832" s="27"/>
    </row>
    <row r="833" ht="14.25" customHeight="1">
      <c r="A833" s="118"/>
      <c r="B833" s="118"/>
      <c r="C833" s="118"/>
      <c r="D833" s="119"/>
      <c r="E833" s="119"/>
      <c r="F833" s="118"/>
      <c r="G833" s="118"/>
      <c r="H833" s="118"/>
      <c r="I833" s="118"/>
      <c r="AF833" s="22"/>
      <c r="AG833" s="22"/>
      <c r="AH833" s="22"/>
      <c r="AI833" s="22"/>
      <c r="AJ833" s="22"/>
      <c r="AK833" s="23"/>
      <c r="AN833" s="24"/>
      <c r="AO833" s="24"/>
      <c r="AX833" s="25"/>
      <c r="BR833" s="25"/>
      <c r="CF833" s="27"/>
      <c r="CG833" s="27"/>
      <c r="CH833" s="27"/>
      <c r="CI833" s="27"/>
      <c r="CJ833" s="27"/>
      <c r="CK833" s="27"/>
    </row>
    <row r="834" ht="14.25" customHeight="1">
      <c r="A834" s="118"/>
      <c r="B834" s="118"/>
      <c r="C834" s="118"/>
      <c r="D834" s="119"/>
      <c r="E834" s="119"/>
      <c r="F834" s="118"/>
      <c r="G834" s="118"/>
      <c r="H834" s="118"/>
      <c r="I834" s="118"/>
      <c r="AF834" s="22"/>
      <c r="AG834" s="22"/>
      <c r="AH834" s="22"/>
      <c r="AI834" s="22"/>
      <c r="AJ834" s="22"/>
      <c r="AK834" s="23"/>
      <c r="AN834" s="24"/>
      <c r="AO834" s="24"/>
      <c r="AX834" s="25"/>
      <c r="BR834" s="25"/>
      <c r="CF834" s="27"/>
      <c r="CG834" s="27"/>
      <c r="CH834" s="27"/>
      <c r="CI834" s="27"/>
      <c r="CJ834" s="27"/>
      <c r="CK834" s="27"/>
    </row>
    <row r="835" ht="14.25" customHeight="1">
      <c r="A835" s="118"/>
      <c r="B835" s="118"/>
      <c r="C835" s="118"/>
      <c r="D835" s="119"/>
      <c r="E835" s="119"/>
      <c r="F835" s="118"/>
      <c r="G835" s="118"/>
      <c r="H835" s="118"/>
      <c r="I835" s="118"/>
      <c r="AF835" s="22"/>
      <c r="AG835" s="22"/>
      <c r="AH835" s="22"/>
      <c r="AI835" s="22"/>
      <c r="AJ835" s="22"/>
      <c r="AK835" s="23"/>
      <c r="AN835" s="24"/>
      <c r="AO835" s="24"/>
      <c r="AX835" s="25"/>
      <c r="BR835" s="25"/>
      <c r="CF835" s="27"/>
      <c r="CG835" s="27"/>
      <c r="CH835" s="27"/>
      <c r="CI835" s="27"/>
      <c r="CJ835" s="27"/>
      <c r="CK835" s="27"/>
    </row>
    <row r="836" ht="14.25" customHeight="1">
      <c r="A836" s="118"/>
      <c r="B836" s="118"/>
      <c r="C836" s="118"/>
      <c r="D836" s="119"/>
      <c r="E836" s="119"/>
      <c r="F836" s="118"/>
      <c r="G836" s="118"/>
      <c r="H836" s="118"/>
      <c r="I836" s="118"/>
      <c r="AF836" s="22"/>
      <c r="AG836" s="22"/>
      <c r="AH836" s="22"/>
      <c r="AI836" s="22"/>
      <c r="AJ836" s="22"/>
      <c r="AK836" s="23"/>
      <c r="AN836" s="24"/>
      <c r="AO836" s="24"/>
      <c r="AX836" s="25"/>
      <c r="BR836" s="25"/>
      <c r="CF836" s="27"/>
      <c r="CG836" s="27"/>
      <c r="CH836" s="27"/>
      <c r="CI836" s="27"/>
      <c r="CJ836" s="27"/>
      <c r="CK836" s="27"/>
    </row>
    <row r="837" ht="14.25" customHeight="1">
      <c r="A837" s="118"/>
      <c r="B837" s="118"/>
      <c r="C837" s="118"/>
      <c r="D837" s="119"/>
      <c r="E837" s="119"/>
      <c r="F837" s="118"/>
      <c r="G837" s="118"/>
      <c r="H837" s="118"/>
      <c r="I837" s="118"/>
      <c r="AF837" s="22"/>
      <c r="AG837" s="22"/>
      <c r="AH837" s="22"/>
      <c r="AI837" s="22"/>
      <c r="AJ837" s="22"/>
      <c r="AK837" s="23"/>
      <c r="AN837" s="24"/>
      <c r="AO837" s="24"/>
      <c r="AX837" s="25"/>
      <c r="BR837" s="25"/>
      <c r="CF837" s="27"/>
      <c r="CG837" s="27"/>
      <c r="CH837" s="27"/>
      <c r="CI837" s="27"/>
      <c r="CJ837" s="27"/>
      <c r="CK837" s="27"/>
    </row>
    <row r="838" ht="14.25" customHeight="1">
      <c r="A838" s="118"/>
      <c r="B838" s="118"/>
      <c r="C838" s="118"/>
      <c r="D838" s="119"/>
      <c r="E838" s="119"/>
      <c r="F838" s="118"/>
      <c r="G838" s="118"/>
      <c r="H838" s="118"/>
      <c r="I838" s="118"/>
      <c r="AF838" s="22"/>
      <c r="AG838" s="22"/>
      <c r="AH838" s="22"/>
      <c r="AI838" s="22"/>
      <c r="AJ838" s="22"/>
      <c r="AK838" s="23"/>
      <c r="AN838" s="24"/>
      <c r="AO838" s="24"/>
      <c r="AX838" s="25"/>
      <c r="BR838" s="25"/>
      <c r="CF838" s="27"/>
      <c r="CG838" s="27"/>
      <c r="CH838" s="27"/>
      <c r="CI838" s="27"/>
      <c r="CJ838" s="27"/>
      <c r="CK838" s="27"/>
    </row>
    <row r="839" ht="14.25" customHeight="1">
      <c r="A839" s="118"/>
      <c r="B839" s="118"/>
      <c r="C839" s="118"/>
      <c r="D839" s="119"/>
      <c r="E839" s="119"/>
      <c r="F839" s="118"/>
      <c r="G839" s="118"/>
      <c r="H839" s="118"/>
      <c r="I839" s="118"/>
      <c r="AF839" s="22"/>
      <c r="AG839" s="22"/>
      <c r="AH839" s="22"/>
      <c r="AI839" s="22"/>
      <c r="AJ839" s="22"/>
      <c r="AK839" s="23"/>
      <c r="AN839" s="24"/>
      <c r="AO839" s="24"/>
      <c r="AX839" s="25"/>
      <c r="BR839" s="25"/>
      <c r="CF839" s="27"/>
      <c r="CG839" s="27"/>
      <c r="CH839" s="27"/>
      <c r="CI839" s="27"/>
      <c r="CJ839" s="27"/>
      <c r="CK839" s="27"/>
    </row>
    <row r="840" ht="14.25" customHeight="1">
      <c r="A840" s="118"/>
      <c r="B840" s="118"/>
      <c r="C840" s="118"/>
      <c r="D840" s="119"/>
      <c r="E840" s="119"/>
      <c r="F840" s="118"/>
      <c r="G840" s="118"/>
      <c r="H840" s="118"/>
      <c r="I840" s="118"/>
      <c r="AF840" s="22"/>
      <c r="AG840" s="22"/>
      <c r="AH840" s="22"/>
      <c r="AI840" s="22"/>
      <c r="AJ840" s="22"/>
      <c r="AK840" s="23"/>
      <c r="AN840" s="24"/>
      <c r="AO840" s="24"/>
      <c r="AX840" s="25"/>
      <c r="BR840" s="25"/>
      <c r="CF840" s="27"/>
      <c r="CG840" s="27"/>
      <c r="CH840" s="27"/>
      <c r="CI840" s="27"/>
      <c r="CJ840" s="27"/>
      <c r="CK840" s="27"/>
    </row>
    <row r="841" ht="14.25" customHeight="1">
      <c r="A841" s="118"/>
      <c r="B841" s="118"/>
      <c r="C841" s="118"/>
      <c r="D841" s="119"/>
      <c r="E841" s="119"/>
      <c r="F841" s="118"/>
      <c r="G841" s="118"/>
      <c r="H841" s="118"/>
      <c r="I841" s="118"/>
      <c r="AF841" s="22"/>
      <c r="AG841" s="22"/>
      <c r="AH841" s="22"/>
      <c r="AI841" s="22"/>
      <c r="AJ841" s="22"/>
      <c r="AK841" s="23"/>
      <c r="AN841" s="24"/>
      <c r="AO841" s="24"/>
      <c r="AX841" s="25"/>
      <c r="BR841" s="25"/>
      <c r="CF841" s="27"/>
      <c r="CG841" s="27"/>
      <c r="CH841" s="27"/>
      <c r="CI841" s="27"/>
      <c r="CJ841" s="27"/>
      <c r="CK841" s="27"/>
    </row>
    <row r="842" ht="14.25" customHeight="1">
      <c r="A842" s="118"/>
      <c r="B842" s="118"/>
      <c r="C842" s="118"/>
      <c r="D842" s="119"/>
      <c r="E842" s="119"/>
      <c r="F842" s="118"/>
      <c r="G842" s="118"/>
      <c r="H842" s="118"/>
      <c r="I842" s="118"/>
      <c r="AF842" s="22"/>
      <c r="AG842" s="22"/>
      <c r="AH842" s="22"/>
      <c r="AI842" s="22"/>
      <c r="AJ842" s="22"/>
      <c r="AK842" s="23"/>
      <c r="AN842" s="24"/>
      <c r="AO842" s="24"/>
      <c r="AX842" s="25"/>
      <c r="BR842" s="25"/>
      <c r="CF842" s="27"/>
      <c r="CG842" s="27"/>
      <c r="CH842" s="27"/>
      <c r="CI842" s="27"/>
      <c r="CJ842" s="27"/>
      <c r="CK842" s="27"/>
    </row>
    <row r="843" ht="14.25" customHeight="1">
      <c r="A843" s="118"/>
      <c r="B843" s="118"/>
      <c r="C843" s="118"/>
      <c r="D843" s="119"/>
      <c r="E843" s="119"/>
      <c r="F843" s="118"/>
      <c r="G843" s="118"/>
      <c r="H843" s="118"/>
      <c r="I843" s="118"/>
      <c r="AF843" s="22"/>
      <c r="AG843" s="22"/>
      <c r="AH843" s="22"/>
      <c r="AI843" s="22"/>
      <c r="AJ843" s="22"/>
      <c r="AK843" s="23"/>
      <c r="AN843" s="24"/>
      <c r="AO843" s="24"/>
      <c r="AX843" s="25"/>
      <c r="BR843" s="25"/>
      <c r="CF843" s="27"/>
      <c r="CG843" s="27"/>
      <c r="CH843" s="27"/>
      <c r="CI843" s="27"/>
      <c r="CJ843" s="27"/>
      <c r="CK843" s="27"/>
    </row>
    <row r="844" ht="14.25" customHeight="1">
      <c r="A844" s="118"/>
      <c r="B844" s="118"/>
      <c r="C844" s="118"/>
      <c r="D844" s="119"/>
      <c r="E844" s="119"/>
      <c r="F844" s="118"/>
      <c r="G844" s="118"/>
      <c r="H844" s="118"/>
      <c r="I844" s="118"/>
      <c r="AF844" s="22"/>
      <c r="AG844" s="22"/>
      <c r="AH844" s="22"/>
      <c r="AI844" s="22"/>
      <c r="AJ844" s="22"/>
      <c r="AK844" s="23"/>
      <c r="AN844" s="24"/>
      <c r="AO844" s="24"/>
      <c r="AX844" s="25"/>
      <c r="BR844" s="25"/>
      <c r="CF844" s="27"/>
      <c r="CG844" s="27"/>
      <c r="CH844" s="27"/>
      <c r="CI844" s="27"/>
      <c r="CJ844" s="27"/>
      <c r="CK844" s="27"/>
    </row>
    <row r="845" ht="14.25" customHeight="1">
      <c r="A845" s="118"/>
      <c r="B845" s="118"/>
      <c r="C845" s="118"/>
      <c r="D845" s="119"/>
      <c r="E845" s="119"/>
      <c r="F845" s="118"/>
      <c r="G845" s="118"/>
      <c r="H845" s="118"/>
      <c r="I845" s="118"/>
      <c r="AF845" s="22"/>
      <c r="AG845" s="22"/>
      <c r="AH845" s="22"/>
      <c r="AI845" s="22"/>
      <c r="AJ845" s="22"/>
      <c r="AK845" s="23"/>
      <c r="AN845" s="24"/>
      <c r="AO845" s="24"/>
      <c r="AX845" s="25"/>
      <c r="BR845" s="25"/>
      <c r="CF845" s="27"/>
      <c r="CG845" s="27"/>
      <c r="CH845" s="27"/>
      <c r="CI845" s="27"/>
      <c r="CJ845" s="27"/>
      <c r="CK845" s="27"/>
    </row>
    <row r="846" ht="14.25" customHeight="1">
      <c r="A846" s="118"/>
      <c r="B846" s="118"/>
      <c r="C846" s="118"/>
      <c r="D846" s="119"/>
      <c r="E846" s="119"/>
      <c r="F846" s="118"/>
      <c r="G846" s="118"/>
      <c r="H846" s="118"/>
      <c r="I846" s="118"/>
      <c r="AF846" s="22"/>
      <c r="AG846" s="22"/>
      <c r="AH846" s="22"/>
      <c r="AI846" s="22"/>
      <c r="AJ846" s="22"/>
      <c r="AK846" s="23"/>
      <c r="AN846" s="24"/>
      <c r="AO846" s="24"/>
      <c r="AX846" s="25"/>
      <c r="BR846" s="25"/>
      <c r="CF846" s="27"/>
      <c r="CG846" s="27"/>
      <c r="CH846" s="27"/>
      <c r="CI846" s="27"/>
      <c r="CJ846" s="27"/>
      <c r="CK846" s="27"/>
    </row>
    <row r="847" ht="14.25" customHeight="1">
      <c r="A847" s="118"/>
      <c r="B847" s="118"/>
      <c r="C847" s="118"/>
      <c r="D847" s="119"/>
      <c r="E847" s="119"/>
      <c r="F847" s="118"/>
      <c r="G847" s="118"/>
      <c r="H847" s="118"/>
      <c r="I847" s="118"/>
      <c r="AF847" s="22"/>
      <c r="AG847" s="22"/>
      <c r="AH847" s="22"/>
      <c r="AI847" s="22"/>
      <c r="AJ847" s="22"/>
      <c r="AK847" s="23"/>
      <c r="AN847" s="24"/>
      <c r="AO847" s="24"/>
      <c r="AX847" s="25"/>
      <c r="BR847" s="25"/>
      <c r="CF847" s="27"/>
      <c r="CG847" s="27"/>
      <c r="CH847" s="27"/>
      <c r="CI847" s="27"/>
      <c r="CJ847" s="27"/>
      <c r="CK847" s="27"/>
    </row>
    <row r="848" ht="14.25" customHeight="1">
      <c r="A848" s="118"/>
      <c r="B848" s="118"/>
      <c r="C848" s="118"/>
      <c r="D848" s="119"/>
      <c r="E848" s="119"/>
      <c r="F848" s="118"/>
      <c r="G848" s="118"/>
      <c r="H848" s="118"/>
      <c r="I848" s="118"/>
      <c r="AF848" s="22"/>
      <c r="AG848" s="22"/>
      <c r="AH848" s="22"/>
      <c r="AI848" s="22"/>
      <c r="AJ848" s="22"/>
      <c r="AK848" s="23"/>
      <c r="AN848" s="24"/>
      <c r="AO848" s="24"/>
      <c r="AX848" s="25"/>
      <c r="BR848" s="25"/>
      <c r="CF848" s="27"/>
      <c r="CG848" s="27"/>
      <c r="CH848" s="27"/>
      <c r="CI848" s="27"/>
      <c r="CJ848" s="27"/>
      <c r="CK848" s="27"/>
    </row>
    <row r="849" ht="14.25" customHeight="1">
      <c r="A849" s="118"/>
      <c r="B849" s="118"/>
      <c r="C849" s="118"/>
      <c r="D849" s="119"/>
      <c r="E849" s="119"/>
      <c r="F849" s="118"/>
      <c r="G849" s="118"/>
      <c r="H849" s="118"/>
      <c r="I849" s="118"/>
      <c r="AF849" s="22"/>
      <c r="AG849" s="22"/>
      <c r="AH849" s="22"/>
      <c r="AI849" s="22"/>
      <c r="AJ849" s="22"/>
      <c r="AK849" s="23"/>
      <c r="AN849" s="24"/>
      <c r="AO849" s="24"/>
      <c r="AX849" s="25"/>
      <c r="BR849" s="25"/>
      <c r="CF849" s="27"/>
      <c r="CG849" s="27"/>
      <c r="CH849" s="27"/>
      <c r="CI849" s="27"/>
      <c r="CJ849" s="27"/>
      <c r="CK849" s="27"/>
    </row>
    <row r="850" ht="14.25" customHeight="1">
      <c r="A850" s="118"/>
      <c r="B850" s="118"/>
      <c r="C850" s="118"/>
      <c r="D850" s="119"/>
      <c r="E850" s="119"/>
      <c r="F850" s="118"/>
      <c r="G850" s="118"/>
      <c r="H850" s="118"/>
      <c r="I850" s="118"/>
      <c r="AF850" s="22"/>
      <c r="AG850" s="22"/>
      <c r="AH850" s="22"/>
      <c r="AI850" s="22"/>
      <c r="AJ850" s="22"/>
      <c r="AK850" s="23"/>
      <c r="AN850" s="24"/>
      <c r="AO850" s="24"/>
      <c r="AX850" s="25"/>
      <c r="BR850" s="25"/>
      <c r="CF850" s="27"/>
      <c r="CG850" s="27"/>
      <c r="CH850" s="27"/>
      <c r="CI850" s="27"/>
      <c r="CJ850" s="27"/>
      <c r="CK850" s="27"/>
    </row>
    <row r="851" ht="14.25" customHeight="1">
      <c r="A851" s="118"/>
      <c r="B851" s="118"/>
      <c r="C851" s="118"/>
      <c r="D851" s="119"/>
      <c r="E851" s="119"/>
      <c r="F851" s="118"/>
      <c r="G851" s="118"/>
      <c r="H851" s="118"/>
      <c r="I851" s="118"/>
      <c r="AF851" s="22"/>
      <c r="AG851" s="22"/>
      <c r="AH851" s="22"/>
      <c r="AI851" s="22"/>
      <c r="AJ851" s="22"/>
      <c r="AK851" s="23"/>
      <c r="AN851" s="24"/>
      <c r="AO851" s="24"/>
      <c r="AX851" s="25"/>
      <c r="BR851" s="25"/>
      <c r="CF851" s="27"/>
      <c r="CG851" s="27"/>
      <c r="CH851" s="27"/>
      <c r="CI851" s="27"/>
      <c r="CJ851" s="27"/>
      <c r="CK851" s="27"/>
    </row>
    <row r="852" ht="14.25" customHeight="1">
      <c r="A852" s="118"/>
      <c r="B852" s="118"/>
      <c r="C852" s="118"/>
      <c r="D852" s="119"/>
      <c r="E852" s="119"/>
      <c r="F852" s="118"/>
      <c r="G852" s="118"/>
      <c r="H852" s="118"/>
      <c r="I852" s="118"/>
      <c r="AF852" s="22"/>
      <c r="AG852" s="22"/>
      <c r="AH852" s="22"/>
      <c r="AI852" s="22"/>
      <c r="AJ852" s="22"/>
      <c r="AK852" s="23"/>
      <c r="AN852" s="24"/>
      <c r="AO852" s="24"/>
      <c r="AX852" s="25"/>
      <c r="BR852" s="25"/>
      <c r="CF852" s="27"/>
      <c r="CG852" s="27"/>
      <c r="CH852" s="27"/>
      <c r="CI852" s="27"/>
      <c r="CJ852" s="27"/>
      <c r="CK852" s="27"/>
    </row>
    <row r="853" ht="14.25" customHeight="1">
      <c r="A853" s="118"/>
      <c r="B853" s="118"/>
      <c r="C853" s="118"/>
      <c r="D853" s="119"/>
      <c r="E853" s="119"/>
      <c r="F853" s="118"/>
      <c r="G853" s="118"/>
      <c r="H853" s="118"/>
      <c r="I853" s="118"/>
      <c r="AF853" s="22"/>
      <c r="AG853" s="22"/>
      <c r="AH853" s="22"/>
      <c r="AI853" s="22"/>
      <c r="AJ853" s="22"/>
      <c r="AK853" s="23"/>
      <c r="AN853" s="24"/>
      <c r="AO853" s="24"/>
      <c r="AX853" s="25"/>
      <c r="BR853" s="25"/>
      <c r="CF853" s="27"/>
      <c r="CG853" s="27"/>
      <c r="CH853" s="27"/>
      <c r="CI853" s="27"/>
      <c r="CJ853" s="27"/>
      <c r="CK853" s="27"/>
    </row>
    <row r="854" ht="14.25" customHeight="1">
      <c r="A854" s="118"/>
      <c r="B854" s="118"/>
      <c r="C854" s="118"/>
      <c r="D854" s="119"/>
      <c r="E854" s="119"/>
      <c r="F854" s="118"/>
      <c r="G854" s="118"/>
      <c r="H854" s="118"/>
      <c r="I854" s="118"/>
      <c r="AF854" s="22"/>
      <c r="AG854" s="22"/>
      <c r="AH854" s="22"/>
      <c r="AI854" s="22"/>
      <c r="AJ854" s="22"/>
      <c r="AK854" s="23"/>
      <c r="AN854" s="24"/>
      <c r="AO854" s="24"/>
      <c r="AX854" s="25"/>
      <c r="BR854" s="25"/>
      <c r="CF854" s="27"/>
      <c r="CG854" s="27"/>
      <c r="CH854" s="27"/>
      <c r="CI854" s="27"/>
      <c r="CJ854" s="27"/>
      <c r="CK854" s="27"/>
    </row>
    <row r="855" ht="14.25" customHeight="1">
      <c r="A855" s="118"/>
      <c r="B855" s="118"/>
      <c r="C855" s="118"/>
      <c r="D855" s="119"/>
      <c r="E855" s="119"/>
      <c r="F855" s="118"/>
      <c r="G855" s="118"/>
      <c r="H855" s="118"/>
      <c r="I855" s="118"/>
      <c r="AF855" s="22"/>
      <c r="AG855" s="22"/>
      <c r="AH855" s="22"/>
      <c r="AI855" s="22"/>
      <c r="AJ855" s="22"/>
      <c r="AK855" s="23"/>
      <c r="AN855" s="24"/>
      <c r="AO855" s="24"/>
      <c r="AX855" s="25"/>
      <c r="BR855" s="25"/>
      <c r="CF855" s="27"/>
      <c r="CG855" s="27"/>
      <c r="CH855" s="27"/>
      <c r="CI855" s="27"/>
      <c r="CJ855" s="27"/>
      <c r="CK855" s="27"/>
    </row>
    <row r="856" ht="14.25" customHeight="1">
      <c r="A856" s="118"/>
      <c r="B856" s="118"/>
      <c r="C856" s="118"/>
      <c r="D856" s="119"/>
      <c r="E856" s="119"/>
      <c r="F856" s="118"/>
      <c r="G856" s="118"/>
      <c r="H856" s="118"/>
      <c r="I856" s="118"/>
      <c r="AF856" s="22"/>
      <c r="AG856" s="22"/>
      <c r="AH856" s="22"/>
      <c r="AI856" s="22"/>
      <c r="AJ856" s="22"/>
      <c r="AK856" s="23"/>
      <c r="AN856" s="24"/>
      <c r="AO856" s="24"/>
      <c r="AX856" s="25"/>
      <c r="BR856" s="25"/>
      <c r="CF856" s="27"/>
      <c r="CG856" s="27"/>
      <c r="CH856" s="27"/>
      <c r="CI856" s="27"/>
      <c r="CJ856" s="27"/>
      <c r="CK856" s="27"/>
    </row>
    <row r="857" ht="14.25" customHeight="1">
      <c r="A857" s="118"/>
      <c r="B857" s="118"/>
      <c r="C857" s="118"/>
      <c r="D857" s="119"/>
      <c r="E857" s="119"/>
      <c r="F857" s="118"/>
      <c r="G857" s="118"/>
      <c r="H857" s="118"/>
      <c r="I857" s="118"/>
      <c r="AF857" s="22"/>
      <c r="AG857" s="22"/>
      <c r="AH857" s="22"/>
      <c r="AI857" s="22"/>
      <c r="AJ857" s="22"/>
      <c r="AK857" s="23"/>
      <c r="AN857" s="24"/>
      <c r="AO857" s="24"/>
      <c r="AX857" s="25"/>
      <c r="BR857" s="25"/>
      <c r="CF857" s="27"/>
      <c r="CG857" s="27"/>
      <c r="CH857" s="27"/>
      <c r="CI857" s="27"/>
      <c r="CJ857" s="27"/>
      <c r="CK857" s="27"/>
    </row>
    <row r="858" ht="14.25" customHeight="1">
      <c r="A858" s="118"/>
      <c r="B858" s="118"/>
      <c r="C858" s="118"/>
      <c r="D858" s="119"/>
      <c r="E858" s="119"/>
      <c r="F858" s="118"/>
      <c r="G858" s="118"/>
      <c r="H858" s="118"/>
      <c r="I858" s="118"/>
      <c r="AF858" s="22"/>
      <c r="AG858" s="22"/>
      <c r="AH858" s="22"/>
      <c r="AI858" s="22"/>
      <c r="AJ858" s="22"/>
      <c r="AK858" s="23"/>
      <c r="AN858" s="24"/>
      <c r="AO858" s="24"/>
      <c r="AX858" s="25"/>
      <c r="BR858" s="25"/>
      <c r="CF858" s="27"/>
      <c r="CG858" s="27"/>
      <c r="CH858" s="27"/>
      <c r="CI858" s="27"/>
      <c r="CJ858" s="27"/>
      <c r="CK858" s="27"/>
    </row>
    <row r="859" ht="14.25" customHeight="1">
      <c r="A859" s="118"/>
      <c r="B859" s="118"/>
      <c r="C859" s="118"/>
      <c r="D859" s="119"/>
      <c r="E859" s="119"/>
      <c r="F859" s="118"/>
      <c r="G859" s="118"/>
      <c r="H859" s="118"/>
      <c r="I859" s="118"/>
      <c r="AF859" s="22"/>
      <c r="AG859" s="22"/>
      <c r="AH859" s="22"/>
      <c r="AI859" s="22"/>
      <c r="AJ859" s="22"/>
      <c r="AK859" s="23"/>
      <c r="AN859" s="24"/>
      <c r="AO859" s="24"/>
      <c r="AX859" s="25"/>
      <c r="BR859" s="25"/>
      <c r="CF859" s="27"/>
      <c r="CG859" s="27"/>
      <c r="CH859" s="27"/>
      <c r="CI859" s="27"/>
      <c r="CJ859" s="27"/>
      <c r="CK859" s="27"/>
    </row>
    <row r="860" ht="14.25" customHeight="1">
      <c r="A860" s="118"/>
      <c r="B860" s="118"/>
      <c r="C860" s="118"/>
      <c r="D860" s="119"/>
      <c r="E860" s="119"/>
      <c r="F860" s="118"/>
      <c r="G860" s="118"/>
      <c r="H860" s="118"/>
      <c r="I860" s="118"/>
      <c r="AF860" s="22"/>
      <c r="AG860" s="22"/>
      <c r="AH860" s="22"/>
      <c r="AI860" s="22"/>
      <c r="AJ860" s="22"/>
      <c r="AK860" s="23"/>
      <c r="AN860" s="24"/>
      <c r="AO860" s="24"/>
      <c r="AX860" s="25"/>
      <c r="BR860" s="25"/>
      <c r="CF860" s="27"/>
      <c r="CG860" s="27"/>
      <c r="CH860" s="27"/>
      <c r="CI860" s="27"/>
      <c r="CJ860" s="27"/>
      <c r="CK860" s="27"/>
    </row>
    <row r="861" ht="14.25" customHeight="1">
      <c r="A861" s="118"/>
      <c r="B861" s="118"/>
      <c r="C861" s="118"/>
      <c r="D861" s="119"/>
      <c r="E861" s="119"/>
      <c r="F861" s="118"/>
      <c r="G861" s="118"/>
      <c r="H861" s="118"/>
      <c r="I861" s="118"/>
      <c r="AF861" s="22"/>
      <c r="AG861" s="22"/>
      <c r="AH861" s="22"/>
      <c r="AI861" s="22"/>
      <c r="AJ861" s="22"/>
      <c r="AK861" s="23"/>
      <c r="AN861" s="24"/>
      <c r="AO861" s="24"/>
      <c r="AX861" s="25"/>
      <c r="BR861" s="25"/>
      <c r="CF861" s="27"/>
      <c r="CG861" s="27"/>
      <c r="CH861" s="27"/>
      <c r="CI861" s="27"/>
      <c r="CJ861" s="27"/>
      <c r="CK861" s="27"/>
    </row>
    <row r="862" ht="14.25" customHeight="1">
      <c r="A862" s="118"/>
      <c r="B862" s="118"/>
      <c r="C862" s="118"/>
      <c r="D862" s="119"/>
      <c r="E862" s="119"/>
      <c r="F862" s="118"/>
      <c r="G862" s="118"/>
      <c r="H862" s="118"/>
      <c r="I862" s="118"/>
      <c r="AF862" s="22"/>
      <c r="AG862" s="22"/>
      <c r="AH862" s="22"/>
      <c r="AI862" s="22"/>
      <c r="AJ862" s="22"/>
      <c r="AK862" s="23"/>
      <c r="AN862" s="24"/>
      <c r="AO862" s="24"/>
      <c r="AX862" s="25"/>
      <c r="BR862" s="25"/>
      <c r="CF862" s="27"/>
      <c r="CG862" s="27"/>
      <c r="CH862" s="27"/>
      <c r="CI862" s="27"/>
      <c r="CJ862" s="27"/>
      <c r="CK862" s="27"/>
    </row>
    <row r="863" ht="14.25" customHeight="1">
      <c r="A863" s="118"/>
      <c r="B863" s="118"/>
      <c r="C863" s="118"/>
      <c r="D863" s="119"/>
      <c r="E863" s="119"/>
      <c r="F863" s="118"/>
      <c r="G863" s="118"/>
      <c r="H863" s="118"/>
      <c r="I863" s="118"/>
      <c r="AF863" s="22"/>
      <c r="AG863" s="22"/>
      <c r="AH863" s="22"/>
      <c r="AI863" s="22"/>
      <c r="AJ863" s="22"/>
      <c r="AK863" s="23"/>
      <c r="AN863" s="24"/>
      <c r="AO863" s="24"/>
      <c r="AX863" s="25"/>
      <c r="BR863" s="25"/>
      <c r="CF863" s="27"/>
      <c r="CG863" s="27"/>
      <c r="CH863" s="27"/>
      <c r="CI863" s="27"/>
      <c r="CJ863" s="27"/>
      <c r="CK863" s="27"/>
    </row>
    <row r="864" ht="14.25" customHeight="1">
      <c r="A864" s="118"/>
      <c r="B864" s="118"/>
      <c r="C864" s="118"/>
      <c r="D864" s="119"/>
      <c r="E864" s="119"/>
      <c r="F864" s="118"/>
      <c r="G864" s="118"/>
      <c r="H864" s="118"/>
      <c r="I864" s="118"/>
      <c r="AF864" s="22"/>
      <c r="AG864" s="22"/>
      <c r="AH864" s="22"/>
      <c r="AI864" s="22"/>
      <c r="AJ864" s="22"/>
      <c r="AK864" s="23"/>
      <c r="AN864" s="24"/>
      <c r="AO864" s="24"/>
      <c r="AX864" s="25"/>
      <c r="BR864" s="25"/>
      <c r="CF864" s="27"/>
      <c r="CG864" s="27"/>
      <c r="CH864" s="27"/>
      <c r="CI864" s="27"/>
      <c r="CJ864" s="27"/>
      <c r="CK864" s="27"/>
    </row>
    <row r="865" ht="14.25" customHeight="1">
      <c r="A865" s="118"/>
      <c r="B865" s="118"/>
      <c r="C865" s="118"/>
      <c r="D865" s="119"/>
      <c r="E865" s="119"/>
      <c r="F865" s="118"/>
      <c r="G865" s="118"/>
      <c r="H865" s="118"/>
      <c r="I865" s="118"/>
      <c r="AF865" s="22"/>
      <c r="AG865" s="22"/>
      <c r="AH865" s="22"/>
      <c r="AI865" s="22"/>
      <c r="AJ865" s="22"/>
      <c r="AK865" s="23"/>
      <c r="AN865" s="24"/>
      <c r="AO865" s="24"/>
      <c r="AX865" s="25"/>
      <c r="BR865" s="25"/>
      <c r="CF865" s="27"/>
      <c r="CG865" s="27"/>
      <c r="CH865" s="27"/>
      <c r="CI865" s="27"/>
      <c r="CJ865" s="27"/>
      <c r="CK865" s="27"/>
    </row>
    <row r="866" ht="14.25" customHeight="1">
      <c r="A866" s="118"/>
      <c r="B866" s="118"/>
      <c r="C866" s="118"/>
      <c r="D866" s="119"/>
      <c r="E866" s="119"/>
      <c r="F866" s="118"/>
      <c r="G866" s="118"/>
      <c r="H866" s="118"/>
      <c r="I866" s="118"/>
      <c r="AF866" s="22"/>
      <c r="AG866" s="22"/>
      <c r="AH866" s="22"/>
      <c r="AI866" s="22"/>
      <c r="AJ866" s="22"/>
      <c r="AK866" s="23"/>
      <c r="AN866" s="24"/>
      <c r="AO866" s="24"/>
      <c r="AX866" s="25"/>
      <c r="BR866" s="25"/>
      <c r="CF866" s="27"/>
      <c r="CG866" s="27"/>
      <c r="CH866" s="27"/>
      <c r="CI866" s="27"/>
      <c r="CJ866" s="27"/>
      <c r="CK866" s="27"/>
    </row>
    <row r="867" ht="14.25" customHeight="1">
      <c r="A867" s="118"/>
      <c r="B867" s="118"/>
      <c r="C867" s="118"/>
      <c r="D867" s="119"/>
      <c r="E867" s="119"/>
      <c r="F867" s="118"/>
      <c r="G867" s="118"/>
      <c r="H867" s="118"/>
      <c r="I867" s="118"/>
      <c r="AF867" s="22"/>
      <c r="AG867" s="22"/>
      <c r="AH867" s="22"/>
      <c r="AI867" s="22"/>
      <c r="AJ867" s="22"/>
      <c r="AK867" s="23"/>
      <c r="AN867" s="24"/>
      <c r="AO867" s="24"/>
      <c r="AX867" s="25"/>
      <c r="BR867" s="25"/>
      <c r="CF867" s="27"/>
      <c r="CG867" s="27"/>
      <c r="CH867" s="27"/>
      <c r="CI867" s="27"/>
      <c r="CJ867" s="27"/>
      <c r="CK867" s="27"/>
    </row>
    <row r="868" ht="14.25" customHeight="1">
      <c r="A868" s="118"/>
      <c r="B868" s="118"/>
      <c r="C868" s="118"/>
      <c r="D868" s="119"/>
      <c r="E868" s="119"/>
      <c r="F868" s="118"/>
      <c r="G868" s="118"/>
      <c r="H868" s="118"/>
      <c r="I868" s="118"/>
      <c r="AF868" s="22"/>
      <c r="AG868" s="22"/>
      <c r="AH868" s="22"/>
      <c r="AI868" s="22"/>
      <c r="AJ868" s="22"/>
      <c r="AK868" s="23"/>
      <c r="AN868" s="24"/>
      <c r="AO868" s="24"/>
      <c r="AX868" s="25"/>
      <c r="BR868" s="25"/>
      <c r="CF868" s="27"/>
      <c r="CG868" s="27"/>
      <c r="CH868" s="27"/>
      <c r="CI868" s="27"/>
      <c r="CJ868" s="27"/>
      <c r="CK868" s="27"/>
    </row>
    <row r="869" ht="14.25" customHeight="1">
      <c r="A869" s="118"/>
      <c r="B869" s="118"/>
      <c r="C869" s="118"/>
      <c r="D869" s="119"/>
      <c r="E869" s="119"/>
      <c r="F869" s="118"/>
      <c r="G869" s="118"/>
      <c r="H869" s="118"/>
      <c r="I869" s="118"/>
      <c r="AF869" s="22"/>
      <c r="AG869" s="22"/>
      <c r="AH869" s="22"/>
      <c r="AI869" s="22"/>
      <c r="AJ869" s="22"/>
      <c r="AK869" s="23"/>
      <c r="AN869" s="24"/>
      <c r="AO869" s="24"/>
      <c r="AX869" s="25"/>
      <c r="BR869" s="25"/>
      <c r="CF869" s="27"/>
      <c r="CG869" s="27"/>
      <c r="CH869" s="27"/>
      <c r="CI869" s="27"/>
      <c r="CJ869" s="27"/>
      <c r="CK869" s="27"/>
    </row>
    <row r="870" ht="14.25" customHeight="1">
      <c r="A870" s="118"/>
      <c r="B870" s="118"/>
      <c r="C870" s="118"/>
      <c r="D870" s="119"/>
      <c r="E870" s="119"/>
      <c r="F870" s="118"/>
      <c r="G870" s="118"/>
      <c r="H870" s="118"/>
      <c r="I870" s="118"/>
      <c r="AF870" s="22"/>
      <c r="AG870" s="22"/>
      <c r="AH870" s="22"/>
      <c r="AI870" s="22"/>
      <c r="AJ870" s="22"/>
      <c r="AK870" s="23"/>
      <c r="AN870" s="24"/>
      <c r="AO870" s="24"/>
      <c r="AX870" s="25"/>
      <c r="BR870" s="25"/>
      <c r="CF870" s="27"/>
      <c r="CG870" s="27"/>
      <c r="CH870" s="27"/>
      <c r="CI870" s="27"/>
      <c r="CJ870" s="27"/>
      <c r="CK870" s="27"/>
    </row>
    <row r="871" ht="14.25" customHeight="1">
      <c r="A871" s="118"/>
      <c r="B871" s="118"/>
      <c r="C871" s="118"/>
      <c r="D871" s="119"/>
      <c r="E871" s="119"/>
      <c r="F871" s="118"/>
      <c r="G871" s="118"/>
      <c r="H871" s="118"/>
      <c r="I871" s="118"/>
      <c r="AF871" s="22"/>
      <c r="AG871" s="22"/>
      <c r="AH871" s="22"/>
      <c r="AI871" s="22"/>
      <c r="AJ871" s="22"/>
      <c r="AK871" s="23"/>
      <c r="AN871" s="24"/>
      <c r="AO871" s="24"/>
      <c r="AX871" s="25"/>
      <c r="BR871" s="25"/>
      <c r="CF871" s="27"/>
      <c r="CG871" s="27"/>
      <c r="CH871" s="27"/>
      <c r="CI871" s="27"/>
      <c r="CJ871" s="27"/>
      <c r="CK871" s="27"/>
    </row>
    <row r="872" ht="14.25" customHeight="1">
      <c r="A872" s="118"/>
      <c r="B872" s="118"/>
      <c r="C872" s="118"/>
      <c r="D872" s="119"/>
      <c r="E872" s="119"/>
      <c r="F872" s="118"/>
      <c r="G872" s="118"/>
      <c r="H872" s="118"/>
      <c r="I872" s="118"/>
      <c r="AF872" s="22"/>
      <c r="AG872" s="22"/>
      <c r="AH872" s="22"/>
      <c r="AI872" s="22"/>
      <c r="AJ872" s="22"/>
      <c r="AK872" s="23"/>
      <c r="AN872" s="24"/>
      <c r="AO872" s="24"/>
      <c r="AX872" s="25"/>
      <c r="BR872" s="25"/>
      <c r="CF872" s="27"/>
      <c r="CG872" s="27"/>
      <c r="CH872" s="27"/>
      <c r="CI872" s="27"/>
      <c r="CJ872" s="27"/>
      <c r="CK872" s="27"/>
    </row>
    <row r="873" ht="14.25" customHeight="1">
      <c r="A873" s="118"/>
      <c r="B873" s="118"/>
      <c r="C873" s="118"/>
      <c r="D873" s="119"/>
      <c r="E873" s="119"/>
      <c r="F873" s="118"/>
      <c r="G873" s="118"/>
      <c r="H873" s="118"/>
      <c r="I873" s="118"/>
      <c r="AF873" s="22"/>
      <c r="AG873" s="22"/>
      <c r="AH873" s="22"/>
      <c r="AI873" s="22"/>
      <c r="AJ873" s="22"/>
      <c r="AK873" s="23"/>
      <c r="AN873" s="24"/>
      <c r="AO873" s="24"/>
      <c r="AX873" s="25"/>
      <c r="BR873" s="25"/>
      <c r="CF873" s="27"/>
      <c r="CG873" s="27"/>
      <c r="CH873" s="27"/>
      <c r="CI873" s="27"/>
      <c r="CJ873" s="27"/>
      <c r="CK873" s="27"/>
    </row>
    <row r="874" ht="14.25" customHeight="1">
      <c r="A874" s="118"/>
      <c r="B874" s="118"/>
      <c r="C874" s="118"/>
      <c r="D874" s="119"/>
      <c r="E874" s="119"/>
      <c r="F874" s="118"/>
      <c r="G874" s="118"/>
      <c r="H874" s="118"/>
      <c r="I874" s="118"/>
      <c r="AF874" s="22"/>
      <c r="AG874" s="22"/>
      <c r="AH874" s="22"/>
      <c r="AI874" s="22"/>
      <c r="AJ874" s="22"/>
      <c r="AK874" s="23"/>
      <c r="AN874" s="24"/>
      <c r="AO874" s="24"/>
      <c r="AX874" s="25"/>
      <c r="BR874" s="25"/>
      <c r="CF874" s="27"/>
      <c r="CG874" s="27"/>
      <c r="CH874" s="27"/>
      <c r="CI874" s="27"/>
      <c r="CJ874" s="27"/>
      <c r="CK874" s="27"/>
    </row>
    <row r="875" ht="14.25" customHeight="1">
      <c r="A875" s="118"/>
      <c r="B875" s="118"/>
      <c r="C875" s="118"/>
      <c r="D875" s="119"/>
      <c r="E875" s="119"/>
      <c r="F875" s="118"/>
      <c r="G875" s="118"/>
      <c r="H875" s="118"/>
      <c r="I875" s="118"/>
      <c r="AF875" s="22"/>
      <c r="AG875" s="22"/>
      <c r="AH875" s="22"/>
      <c r="AI875" s="22"/>
      <c r="AJ875" s="22"/>
      <c r="AK875" s="23"/>
      <c r="AN875" s="24"/>
      <c r="AO875" s="24"/>
      <c r="AX875" s="25"/>
      <c r="BR875" s="25"/>
      <c r="CF875" s="27"/>
      <c r="CG875" s="27"/>
      <c r="CH875" s="27"/>
      <c r="CI875" s="27"/>
      <c r="CJ875" s="27"/>
      <c r="CK875" s="27"/>
    </row>
    <row r="876" ht="14.25" customHeight="1">
      <c r="A876" s="118"/>
      <c r="B876" s="118"/>
      <c r="C876" s="118"/>
      <c r="D876" s="119"/>
      <c r="E876" s="119"/>
      <c r="F876" s="118"/>
      <c r="G876" s="118"/>
      <c r="H876" s="118"/>
      <c r="I876" s="118"/>
      <c r="AF876" s="22"/>
      <c r="AG876" s="22"/>
      <c r="AH876" s="22"/>
      <c r="AI876" s="22"/>
      <c r="AJ876" s="22"/>
      <c r="AK876" s="23"/>
      <c r="AN876" s="24"/>
      <c r="AO876" s="24"/>
      <c r="AX876" s="25"/>
      <c r="BR876" s="25"/>
      <c r="CF876" s="27"/>
      <c r="CG876" s="27"/>
      <c r="CH876" s="27"/>
      <c r="CI876" s="27"/>
      <c r="CJ876" s="27"/>
      <c r="CK876" s="27"/>
    </row>
    <row r="877" ht="14.25" customHeight="1">
      <c r="A877" s="118"/>
      <c r="B877" s="118"/>
      <c r="C877" s="118"/>
      <c r="D877" s="119"/>
      <c r="E877" s="119"/>
      <c r="F877" s="118"/>
      <c r="G877" s="118"/>
      <c r="H877" s="118"/>
      <c r="I877" s="118"/>
      <c r="AF877" s="22"/>
      <c r="AG877" s="22"/>
      <c r="AH877" s="22"/>
      <c r="AI877" s="22"/>
      <c r="AJ877" s="22"/>
      <c r="AK877" s="23"/>
      <c r="AN877" s="24"/>
      <c r="AO877" s="24"/>
      <c r="AX877" s="25"/>
      <c r="BR877" s="25"/>
      <c r="CF877" s="27"/>
      <c r="CG877" s="27"/>
      <c r="CH877" s="27"/>
      <c r="CI877" s="27"/>
      <c r="CJ877" s="27"/>
      <c r="CK877" s="27"/>
    </row>
    <row r="878" ht="14.25" customHeight="1">
      <c r="A878" s="118"/>
      <c r="B878" s="118"/>
      <c r="C878" s="118"/>
      <c r="D878" s="119"/>
      <c r="E878" s="119"/>
      <c r="F878" s="118"/>
      <c r="G878" s="118"/>
      <c r="H878" s="118"/>
      <c r="I878" s="118"/>
      <c r="AF878" s="22"/>
      <c r="AG878" s="22"/>
      <c r="AH878" s="22"/>
      <c r="AI878" s="22"/>
      <c r="AJ878" s="22"/>
      <c r="AK878" s="23"/>
      <c r="AN878" s="24"/>
      <c r="AO878" s="24"/>
      <c r="AX878" s="25"/>
      <c r="BR878" s="25"/>
      <c r="CF878" s="27"/>
      <c r="CG878" s="27"/>
      <c r="CH878" s="27"/>
      <c r="CI878" s="27"/>
      <c r="CJ878" s="27"/>
      <c r="CK878" s="27"/>
    </row>
    <row r="879" ht="14.25" customHeight="1">
      <c r="A879" s="118"/>
      <c r="B879" s="118"/>
      <c r="C879" s="118"/>
      <c r="D879" s="119"/>
      <c r="E879" s="119"/>
      <c r="F879" s="118"/>
      <c r="G879" s="118"/>
      <c r="H879" s="118"/>
      <c r="I879" s="118"/>
      <c r="AF879" s="22"/>
      <c r="AG879" s="22"/>
      <c r="AH879" s="22"/>
      <c r="AI879" s="22"/>
      <c r="AJ879" s="22"/>
      <c r="AK879" s="23"/>
      <c r="AN879" s="24"/>
      <c r="AO879" s="24"/>
      <c r="AX879" s="25"/>
      <c r="BR879" s="25"/>
      <c r="CF879" s="27"/>
      <c r="CG879" s="27"/>
      <c r="CH879" s="27"/>
      <c r="CI879" s="27"/>
      <c r="CJ879" s="27"/>
      <c r="CK879" s="27"/>
    </row>
    <row r="880" ht="14.25" customHeight="1">
      <c r="A880" s="118"/>
      <c r="B880" s="118"/>
      <c r="C880" s="118"/>
      <c r="D880" s="119"/>
      <c r="E880" s="119"/>
      <c r="F880" s="118"/>
      <c r="G880" s="118"/>
      <c r="H880" s="118"/>
      <c r="I880" s="118"/>
      <c r="AF880" s="22"/>
      <c r="AG880" s="22"/>
      <c r="AH880" s="22"/>
      <c r="AI880" s="22"/>
      <c r="AJ880" s="22"/>
      <c r="AK880" s="23"/>
      <c r="AN880" s="24"/>
      <c r="AO880" s="24"/>
      <c r="AX880" s="25"/>
      <c r="BR880" s="25"/>
      <c r="CF880" s="27"/>
      <c r="CG880" s="27"/>
      <c r="CH880" s="27"/>
      <c r="CI880" s="27"/>
      <c r="CJ880" s="27"/>
      <c r="CK880" s="27"/>
    </row>
    <row r="881" ht="14.25" customHeight="1">
      <c r="A881" s="118"/>
      <c r="B881" s="118"/>
      <c r="C881" s="118"/>
      <c r="D881" s="119"/>
      <c r="E881" s="119"/>
      <c r="F881" s="118"/>
      <c r="G881" s="118"/>
      <c r="H881" s="118"/>
      <c r="I881" s="118"/>
      <c r="AF881" s="22"/>
      <c r="AG881" s="22"/>
      <c r="AH881" s="22"/>
      <c r="AI881" s="22"/>
      <c r="AJ881" s="22"/>
      <c r="AK881" s="23"/>
      <c r="AN881" s="24"/>
      <c r="AO881" s="24"/>
      <c r="AX881" s="25"/>
      <c r="BR881" s="25"/>
      <c r="CF881" s="27"/>
      <c r="CG881" s="27"/>
      <c r="CH881" s="27"/>
      <c r="CI881" s="27"/>
      <c r="CJ881" s="27"/>
      <c r="CK881" s="27"/>
    </row>
    <row r="882" ht="14.25" customHeight="1">
      <c r="A882" s="118"/>
      <c r="B882" s="118"/>
      <c r="C882" s="118"/>
      <c r="D882" s="119"/>
      <c r="E882" s="119"/>
      <c r="F882" s="118"/>
      <c r="G882" s="118"/>
      <c r="H882" s="118"/>
      <c r="I882" s="118"/>
      <c r="AF882" s="22"/>
      <c r="AG882" s="22"/>
      <c r="AH882" s="22"/>
      <c r="AI882" s="22"/>
      <c r="AJ882" s="22"/>
      <c r="AK882" s="23"/>
      <c r="AN882" s="24"/>
      <c r="AO882" s="24"/>
      <c r="AX882" s="25"/>
      <c r="BR882" s="25"/>
      <c r="CF882" s="27"/>
      <c r="CG882" s="27"/>
      <c r="CH882" s="27"/>
      <c r="CI882" s="27"/>
      <c r="CJ882" s="27"/>
      <c r="CK882" s="27"/>
    </row>
    <row r="883" ht="14.25" customHeight="1">
      <c r="A883" s="118"/>
      <c r="B883" s="118"/>
      <c r="C883" s="118"/>
      <c r="D883" s="119"/>
      <c r="E883" s="119"/>
      <c r="F883" s="118"/>
      <c r="G883" s="118"/>
      <c r="H883" s="118"/>
      <c r="I883" s="118"/>
      <c r="AF883" s="22"/>
      <c r="AG883" s="22"/>
      <c r="AH883" s="22"/>
      <c r="AI883" s="22"/>
      <c r="AJ883" s="22"/>
      <c r="AK883" s="23"/>
      <c r="AN883" s="24"/>
      <c r="AO883" s="24"/>
      <c r="AX883" s="25"/>
      <c r="BR883" s="25"/>
      <c r="CF883" s="27"/>
      <c r="CG883" s="27"/>
      <c r="CH883" s="27"/>
      <c r="CI883" s="27"/>
      <c r="CJ883" s="27"/>
      <c r="CK883" s="27"/>
    </row>
    <row r="884" ht="14.25" customHeight="1">
      <c r="A884" s="118"/>
      <c r="B884" s="118"/>
      <c r="C884" s="118"/>
      <c r="D884" s="119"/>
      <c r="E884" s="119"/>
      <c r="F884" s="118"/>
      <c r="G884" s="118"/>
      <c r="H884" s="118"/>
      <c r="I884" s="118"/>
      <c r="AF884" s="22"/>
      <c r="AG884" s="22"/>
      <c r="AH884" s="22"/>
      <c r="AI884" s="22"/>
      <c r="AJ884" s="22"/>
      <c r="AK884" s="23"/>
      <c r="AN884" s="24"/>
      <c r="AO884" s="24"/>
      <c r="AX884" s="25"/>
      <c r="BR884" s="25"/>
      <c r="CF884" s="27"/>
      <c r="CG884" s="27"/>
      <c r="CH884" s="27"/>
      <c r="CI884" s="27"/>
      <c r="CJ884" s="27"/>
      <c r="CK884" s="27"/>
    </row>
    <row r="885" ht="14.25" customHeight="1">
      <c r="A885" s="118"/>
      <c r="B885" s="118"/>
      <c r="C885" s="118"/>
      <c r="D885" s="119"/>
      <c r="E885" s="119"/>
      <c r="F885" s="118"/>
      <c r="G885" s="118"/>
      <c r="H885" s="118"/>
      <c r="I885" s="118"/>
      <c r="AF885" s="22"/>
      <c r="AG885" s="22"/>
      <c r="AH885" s="22"/>
      <c r="AI885" s="22"/>
      <c r="AJ885" s="22"/>
      <c r="AK885" s="23"/>
      <c r="AN885" s="24"/>
      <c r="AO885" s="24"/>
      <c r="AX885" s="25"/>
      <c r="BR885" s="25"/>
      <c r="CF885" s="27"/>
      <c r="CG885" s="27"/>
      <c r="CH885" s="27"/>
      <c r="CI885" s="27"/>
      <c r="CJ885" s="27"/>
      <c r="CK885" s="27"/>
    </row>
    <row r="886" ht="14.25" customHeight="1">
      <c r="A886" s="118"/>
      <c r="B886" s="118"/>
      <c r="C886" s="118"/>
      <c r="D886" s="119"/>
      <c r="E886" s="119"/>
      <c r="F886" s="118"/>
      <c r="G886" s="118"/>
      <c r="H886" s="118"/>
      <c r="I886" s="118"/>
      <c r="AF886" s="22"/>
      <c r="AG886" s="22"/>
      <c r="AH886" s="22"/>
      <c r="AI886" s="22"/>
      <c r="AJ886" s="22"/>
      <c r="AK886" s="23"/>
      <c r="AN886" s="24"/>
      <c r="AO886" s="24"/>
      <c r="AX886" s="25"/>
      <c r="BR886" s="25"/>
      <c r="CF886" s="27"/>
      <c r="CG886" s="27"/>
      <c r="CH886" s="27"/>
      <c r="CI886" s="27"/>
      <c r="CJ886" s="27"/>
      <c r="CK886" s="27"/>
    </row>
    <row r="887" ht="14.25" customHeight="1">
      <c r="A887" s="118"/>
      <c r="B887" s="118"/>
      <c r="C887" s="118"/>
      <c r="D887" s="119"/>
      <c r="E887" s="119"/>
      <c r="F887" s="118"/>
      <c r="G887" s="118"/>
      <c r="H887" s="118"/>
      <c r="I887" s="118"/>
      <c r="AF887" s="22"/>
      <c r="AG887" s="22"/>
      <c r="AH887" s="22"/>
      <c r="AI887" s="22"/>
      <c r="AJ887" s="22"/>
      <c r="AK887" s="23"/>
      <c r="AN887" s="24"/>
      <c r="AO887" s="24"/>
      <c r="AX887" s="25"/>
      <c r="BR887" s="25"/>
      <c r="CF887" s="27"/>
      <c r="CG887" s="27"/>
      <c r="CH887" s="27"/>
      <c r="CI887" s="27"/>
      <c r="CJ887" s="27"/>
      <c r="CK887" s="27"/>
    </row>
    <row r="888" ht="14.25" customHeight="1">
      <c r="A888" s="118"/>
      <c r="B888" s="118"/>
      <c r="C888" s="118"/>
      <c r="D888" s="119"/>
      <c r="E888" s="119"/>
      <c r="F888" s="118"/>
      <c r="G888" s="118"/>
      <c r="H888" s="118"/>
      <c r="I888" s="118"/>
      <c r="AF888" s="22"/>
      <c r="AG888" s="22"/>
      <c r="AH888" s="22"/>
      <c r="AI888" s="22"/>
      <c r="AJ888" s="22"/>
      <c r="AK888" s="23"/>
      <c r="AN888" s="24"/>
      <c r="AO888" s="24"/>
      <c r="AX888" s="25"/>
      <c r="BR888" s="25"/>
      <c r="CF888" s="27"/>
      <c r="CG888" s="27"/>
      <c r="CH888" s="27"/>
      <c r="CI888" s="27"/>
      <c r="CJ888" s="27"/>
      <c r="CK888" s="27"/>
    </row>
    <row r="889" ht="14.25" customHeight="1">
      <c r="A889" s="118"/>
      <c r="B889" s="118"/>
      <c r="C889" s="118"/>
      <c r="D889" s="119"/>
      <c r="E889" s="119"/>
      <c r="F889" s="118"/>
      <c r="G889" s="118"/>
      <c r="H889" s="118"/>
      <c r="I889" s="118"/>
      <c r="AF889" s="22"/>
      <c r="AG889" s="22"/>
      <c r="AH889" s="22"/>
      <c r="AI889" s="22"/>
      <c r="AJ889" s="22"/>
      <c r="AK889" s="23"/>
      <c r="AN889" s="24"/>
      <c r="AO889" s="24"/>
      <c r="AX889" s="25"/>
      <c r="BR889" s="25"/>
      <c r="CF889" s="27"/>
      <c r="CG889" s="27"/>
      <c r="CH889" s="27"/>
      <c r="CI889" s="27"/>
      <c r="CJ889" s="27"/>
      <c r="CK889" s="27"/>
    </row>
    <row r="890" ht="14.25" customHeight="1">
      <c r="A890" s="118"/>
      <c r="B890" s="118"/>
      <c r="C890" s="118"/>
      <c r="D890" s="119"/>
      <c r="E890" s="119"/>
      <c r="F890" s="118"/>
      <c r="G890" s="118"/>
      <c r="H890" s="118"/>
      <c r="I890" s="118"/>
      <c r="AF890" s="22"/>
      <c r="AG890" s="22"/>
      <c r="AH890" s="22"/>
      <c r="AI890" s="22"/>
      <c r="AJ890" s="22"/>
      <c r="AK890" s="23"/>
      <c r="AN890" s="24"/>
      <c r="AO890" s="24"/>
      <c r="AX890" s="25"/>
      <c r="BR890" s="25"/>
      <c r="CF890" s="27"/>
      <c r="CG890" s="27"/>
      <c r="CH890" s="27"/>
      <c r="CI890" s="27"/>
      <c r="CJ890" s="27"/>
      <c r="CK890" s="27"/>
    </row>
    <row r="891" ht="14.25" customHeight="1">
      <c r="A891" s="118"/>
      <c r="B891" s="118"/>
      <c r="C891" s="118"/>
      <c r="D891" s="119"/>
      <c r="E891" s="119"/>
      <c r="F891" s="118"/>
      <c r="G891" s="118"/>
      <c r="H891" s="118"/>
      <c r="I891" s="118"/>
      <c r="AF891" s="22"/>
      <c r="AG891" s="22"/>
      <c r="AH891" s="22"/>
      <c r="AI891" s="22"/>
      <c r="AJ891" s="22"/>
      <c r="AK891" s="23"/>
      <c r="AN891" s="24"/>
      <c r="AO891" s="24"/>
      <c r="AX891" s="25"/>
      <c r="BR891" s="25"/>
      <c r="CF891" s="27"/>
      <c r="CG891" s="27"/>
      <c r="CH891" s="27"/>
      <c r="CI891" s="27"/>
      <c r="CJ891" s="27"/>
      <c r="CK891" s="27"/>
    </row>
    <row r="892" ht="14.25" customHeight="1">
      <c r="A892" s="118"/>
      <c r="B892" s="118"/>
      <c r="C892" s="118"/>
      <c r="D892" s="119"/>
      <c r="E892" s="119"/>
      <c r="F892" s="118"/>
      <c r="G892" s="118"/>
      <c r="H892" s="118"/>
      <c r="I892" s="118"/>
      <c r="AF892" s="22"/>
      <c r="AG892" s="22"/>
      <c r="AH892" s="22"/>
      <c r="AI892" s="22"/>
      <c r="AJ892" s="22"/>
      <c r="AK892" s="23"/>
      <c r="AN892" s="24"/>
      <c r="AO892" s="24"/>
      <c r="AX892" s="25"/>
      <c r="BR892" s="25"/>
      <c r="CF892" s="27"/>
      <c r="CG892" s="27"/>
      <c r="CH892" s="27"/>
      <c r="CI892" s="27"/>
      <c r="CJ892" s="27"/>
      <c r="CK892" s="27"/>
    </row>
    <row r="893" ht="14.25" customHeight="1">
      <c r="A893" s="118"/>
      <c r="B893" s="118"/>
      <c r="C893" s="118"/>
      <c r="D893" s="119"/>
      <c r="E893" s="119"/>
      <c r="F893" s="118"/>
      <c r="G893" s="118"/>
      <c r="H893" s="118"/>
      <c r="I893" s="118"/>
      <c r="AF893" s="22"/>
      <c r="AG893" s="22"/>
      <c r="AH893" s="22"/>
      <c r="AI893" s="22"/>
      <c r="AJ893" s="22"/>
      <c r="AK893" s="23"/>
      <c r="AN893" s="24"/>
      <c r="AO893" s="24"/>
      <c r="AX893" s="25"/>
      <c r="BR893" s="25"/>
      <c r="CF893" s="27"/>
      <c r="CG893" s="27"/>
      <c r="CH893" s="27"/>
      <c r="CI893" s="27"/>
      <c r="CJ893" s="27"/>
      <c r="CK893" s="27"/>
    </row>
    <row r="894" ht="14.25" customHeight="1">
      <c r="A894" s="118"/>
      <c r="B894" s="118"/>
      <c r="C894" s="118"/>
      <c r="D894" s="119"/>
      <c r="E894" s="119"/>
      <c r="F894" s="118"/>
      <c r="G894" s="118"/>
      <c r="H894" s="118"/>
      <c r="I894" s="118"/>
      <c r="AF894" s="22"/>
      <c r="AG894" s="22"/>
      <c r="AH894" s="22"/>
      <c r="AI894" s="22"/>
      <c r="AJ894" s="22"/>
      <c r="AK894" s="23"/>
      <c r="AN894" s="24"/>
      <c r="AO894" s="24"/>
      <c r="AX894" s="25"/>
      <c r="BR894" s="25"/>
      <c r="CF894" s="27"/>
      <c r="CG894" s="27"/>
      <c r="CH894" s="27"/>
      <c r="CI894" s="27"/>
      <c r="CJ894" s="27"/>
      <c r="CK894" s="27"/>
    </row>
    <row r="895" ht="14.25" customHeight="1">
      <c r="A895" s="118"/>
      <c r="B895" s="118"/>
      <c r="C895" s="118"/>
      <c r="D895" s="119"/>
      <c r="E895" s="119"/>
      <c r="F895" s="118"/>
      <c r="G895" s="118"/>
      <c r="H895" s="118"/>
      <c r="I895" s="118"/>
      <c r="AF895" s="22"/>
      <c r="AG895" s="22"/>
      <c r="AH895" s="22"/>
      <c r="AI895" s="22"/>
      <c r="AJ895" s="22"/>
      <c r="AK895" s="23"/>
      <c r="AN895" s="24"/>
      <c r="AO895" s="24"/>
      <c r="AX895" s="25"/>
      <c r="BR895" s="25"/>
      <c r="CF895" s="27"/>
      <c r="CG895" s="27"/>
      <c r="CH895" s="27"/>
      <c r="CI895" s="27"/>
      <c r="CJ895" s="27"/>
      <c r="CK895" s="27"/>
    </row>
    <row r="896" ht="14.25" customHeight="1">
      <c r="A896" s="118"/>
      <c r="B896" s="118"/>
      <c r="C896" s="118"/>
      <c r="D896" s="119"/>
      <c r="E896" s="119"/>
      <c r="F896" s="118"/>
      <c r="G896" s="118"/>
      <c r="H896" s="118"/>
      <c r="I896" s="118"/>
      <c r="AF896" s="22"/>
      <c r="AG896" s="22"/>
      <c r="AH896" s="22"/>
      <c r="AI896" s="22"/>
      <c r="AJ896" s="22"/>
      <c r="AK896" s="23"/>
      <c r="AN896" s="24"/>
      <c r="AO896" s="24"/>
      <c r="AX896" s="25"/>
      <c r="BR896" s="25"/>
      <c r="CF896" s="27"/>
      <c r="CG896" s="27"/>
      <c r="CH896" s="27"/>
      <c r="CI896" s="27"/>
      <c r="CJ896" s="27"/>
      <c r="CK896" s="27"/>
    </row>
    <row r="897" ht="14.25" customHeight="1">
      <c r="A897" s="118"/>
      <c r="B897" s="118"/>
      <c r="C897" s="118"/>
      <c r="D897" s="119"/>
      <c r="E897" s="119"/>
      <c r="F897" s="118"/>
      <c r="G897" s="118"/>
      <c r="H897" s="118"/>
      <c r="I897" s="118"/>
      <c r="AF897" s="22"/>
      <c r="AG897" s="22"/>
      <c r="AH897" s="22"/>
      <c r="AI897" s="22"/>
      <c r="AJ897" s="22"/>
      <c r="AK897" s="23"/>
      <c r="AN897" s="24"/>
      <c r="AO897" s="24"/>
      <c r="AX897" s="25"/>
      <c r="BR897" s="25"/>
      <c r="CF897" s="27"/>
      <c r="CG897" s="27"/>
      <c r="CH897" s="27"/>
      <c r="CI897" s="27"/>
      <c r="CJ897" s="27"/>
      <c r="CK897" s="27"/>
    </row>
    <row r="898" ht="14.25" customHeight="1">
      <c r="A898" s="118"/>
      <c r="B898" s="118"/>
      <c r="C898" s="118"/>
      <c r="D898" s="119"/>
      <c r="E898" s="119"/>
      <c r="F898" s="118"/>
      <c r="G898" s="118"/>
      <c r="H898" s="118"/>
      <c r="I898" s="118"/>
      <c r="AF898" s="22"/>
      <c r="AG898" s="22"/>
      <c r="AH898" s="22"/>
      <c r="AI898" s="22"/>
      <c r="AJ898" s="22"/>
      <c r="AK898" s="23"/>
      <c r="AN898" s="24"/>
      <c r="AO898" s="24"/>
      <c r="AX898" s="25"/>
      <c r="BR898" s="25"/>
      <c r="CF898" s="27"/>
      <c r="CG898" s="27"/>
      <c r="CH898" s="27"/>
      <c r="CI898" s="27"/>
      <c r="CJ898" s="27"/>
      <c r="CK898" s="27"/>
    </row>
    <row r="899" ht="14.25" customHeight="1">
      <c r="A899" s="118"/>
      <c r="B899" s="118"/>
      <c r="C899" s="118"/>
      <c r="D899" s="119"/>
      <c r="E899" s="119"/>
      <c r="F899" s="118"/>
      <c r="G899" s="118"/>
      <c r="H899" s="118"/>
      <c r="I899" s="118"/>
      <c r="AF899" s="22"/>
      <c r="AG899" s="22"/>
      <c r="AH899" s="22"/>
      <c r="AI899" s="22"/>
      <c r="AJ899" s="22"/>
      <c r="AK899" s="23"/>
      <c r="AN899" s="24"/>
      <c r="AO899" s="24"/>
      <c r="AX899" s="25"/>
      <c r="BR899" s="25"/>
      <c r="CF899" s="27"/>
      <c r="CG899" s="27"/>
      <c r="CH899" s="27"/>
      <c r="CI899" s="27"/>
      <c r="CJ899" s="27"/>
      <c r="CK899" s="27"/>
    </row>
    <row r="900" ht="14.25" customHeight="1">
      <c r="A900" s="118"/>
      <c r="B900" s="118"/>
      <c r="C900" s="118"/>
      <c r="D900" s="119"/>
      <c r="E900" s="119"/>
      <c r="F900" s="118"/>
      <c r="G900" s="118"/>
      <c r="H900" s="118"/>
      <c r="I900" s="118"/>
      <c r="AF900" s="22"/>
      <c r="AG900" s="22"/>
      <c r="AH900" s="22"/>
      <c r="AI900" s="22"/>
      <c r="AJ900" s="22"/>
      <c r="AK900" s="23"/>
      <c r="AN900" s="24"/>
      <c r="AO900" s="24"/>
      <c r="AX900" s="25"/>
      <c r="BR900" s="25"/>
      <c r="CF900" s="27"/>
      <c r="CG900" s="27"/>
      <c r="CH900" s="27"/>
      <c r="CI900" s="27"/>
      <c r="CJ900" s="27"/>
      <c r="CK900" s="27"/>
    </row>
    <row r="901" ht="14.25" customHeight="1">
      <c r="A901" s="118"/>
      <c r="B901" s="118"/>
      <c r="C901" s="118"/>
      <c r="D901" s="119"/>
      <c r="E901" s="119"/>
      <c r="F901" s="118"/>
      <c r="G901" s="118"/>
      <c r="H901" s="118"/>
      <c r="I901" s="118"/>
      <c r="AF901" s="22"/>
      <c r="AG901" s="22"/>
      <c r="AH901" s="22"/>
      <c r="AI901" s="22"/>
      <c r="AJ901" s="22"/>
      <c r="AK901" s="23"/>
      <c r="AN901" s="24"/>
      <c r="AO901" s="24"/>
      <c r="AX901" s="25"/>
      <c r="BR901" s="25"/>
      <c r="CF901" s="27"/>
      <c r="CG901" s="27"/>
      <c r="CH901" s="27"/>
      <c r="CI901" s="27"/>
      <c r="CJ901" s="27"/>
      <c r="CK901" s="27"/>
    </row>
    <row r="902" ht="14.25" customHeight="1">
      <c r="A902" s="118"/>
      <c r="B902" s="118"/>
      <c r="C902" s="118"/>
      <c r="D902" s="119"/>
      <c r="E902" s="119"/>
      <c r="F902" s="118"/>
      <c r="G902" s="118"/>
      <c r="H902" s="118"/>
      <c r="I902" s="118"/>
      <c r="AF902" s="22"/>
      <c r="AG902" s="22"/>
      <c r="AH902" s="22"/>
      <c r="AI902" s="22"/>
      <c r="AJ902" s="22"/>
      <c r="AK902" s="23"/>
      <c r="AN902" s="24"/>
      <c r="AO902" s="24"/>
      <c r="AX902" s="25"/>
      <c r="BR902" s="25"/>
      <c r="CF902" s="27"/>
      <c r="CG902" s="27"/>
      <c r="CH902" s="27"/>
      <c r="CI902" s="27"/>
      <c r="CJ902" s="27"/>
      <c r="CK902" s="27"/>
    </row>
    <row r="903" ht="14.25" customHeight="1">
      <c r="A903" s="118"/>
      <c r="B903" s="118"/>
      <c r="C903" s="118"/>
      <c r="D903" s="119"/>
      <c r="E903" s="119"/>
      <c r="F903" s="118"/>
      <c r="G903" s="118"/>
      <c r="H903" s="118"/>
      <c r="I903" s="118"/>
      <c r="AF903" s="22"/>
      <c r="AG903" s="22"/>
      <c r="AH903" s="22"/>
      <c r="AI903" s="22"/>
      <c r="AJ903" s="22"/>
      <c r="AK903" s="23"/>
      <c r="AN903" s="24"/>
      <c r="AO903" s="24"/>
      <c r="AX903" s="25"/>
      <c r="BR903" s="25"/>
      <c r="CF903" s="27"/>
      <c r="CG903" s="27"/>
      <c r="CH903" s="27"/>
      <c r="CI903" s="27"/>
      <c r="CJ903" s="27"/>
      <c r="CK903" s="27"/>
    </row>
    <row r="904" ht="14.25" customHeight="1">
      <c r="A904" s="118"/>
      <c r="B904" s="118"/>
      <c r="C904" s="118"/>
      <c r="D904" s="119"/>
      <c r="E904" s="119"/>
      <c r="F904" s="118"/>
      <c r="G904" s="118"/>
      <c r="H904" s="118"/>
      <c r="I904" s="118"/>
      <c r="AF904" s="22"/>
      <c r="AG904" s="22"/>
      <c r="AH904" s="22"/>
      <c r="AI904" s="22"/>
      <c r="AJ904" s="22"/>
      <c r="AK904" s="23"/>
      <c r="AN904" s="24"/>
      <c r="AO904" s="24"/>
      <c r="AX904" s="25"/>
      <c r="BR904" s="25"/>
      <c r="CF904" s="27"/>
      <c r="CG904" s="27"/>
      <c r="CH904" s="27"/>
      <c r="CI904" s="27"/>
      <c r="CJ904" s="27"/>
      <c r="CK904" s="27"/>
    </row>
    <row r="905" ht="14.25" customHeight="1">
      <c r="A905" s="118"/>
      <c r="B905" s="118"/>
      <c r="C905" s="118"/>
      <c r="D905" s="119"/>
      <c r="E905" s="119"/>
      <c r="F905" s="118"/>
      <c r="G905" s="118"/>
      <c r="H905" s="118"/>
      <c r="I905" s="118"/>
      <c r="AF905" s="22"/>
      <c r="AG905" s="22"/>
      <c r="AH905" s="22"/>
      <c r="AI905" s="22"/>
      <c r="AJ905" s="22"/>
      <c r="AK905" s="23"/>
      <c r="AN905" s="24"/>
      <c r="AO905" s="24"/>
      <c r="AX905" s="25"/>
      <c r="BR905" s="25"/>
      <c r="CF905" s="27"/>
      <c r="CG905" s="27"/>
      <c r="CH905" s="27"/>
      <c r="CI905" s="27"/>
      <c r="CJ905" s="27"/>
      <c r="CK905" s="27"/>
    </row>
    <row r="906" ht="14.25" customHeight="1">
      <c r="A906" s="118"/>
      <c r="B906" s="118"/>
      <c r="C906" s="118"/>
      <c r="D906" s="119"/>
      <c r="E906" s="119"/>
      <c r="F906" s="118"/>
      <c r="G906" s="118"/>
      <c r="H906" s="118"/>
      <c r="I906" s="118"/>
      <c r="AF906" s="22"/>
      <c r="AG906" s="22"/>
      <c r="AH906" s="22"/>
      <c r="AI906" s="22"/>
      <c r="AJ906" s="22"/>
      <c r="AK906" s="23"/>
      <c r="AN906" s="24"/>
      <c r="AO906" s="24"/>
      <c r="AX906" s="25"/>
      <c r="BR906" s="25"/>
      <c r="CF906" s="27"/>
      <c r="CG906" s="27"/>
      <c r="CH906" s="27"/>
      <c r="CI906" s="27"/>
      <c r="CJ906" s="27"/>
      <c r="CK906" s="27"/>
    </row>
    <row r="907" ht="14.25" customHeight="1">
      <c r="A907" s="118"/>
      <c r="B907" s="118"/>
      <c r="C907" s="118"/>
      <c r="D907" s="119"/>
      <c r="E907" s="119"/>
      <c r="F907" s="118"/>
      <c r="G907" s="118"/>
      <c r="H907" s="118"/>
      <c r="I907" s="118"/>
      <c r="AF907" s="22"/>
      <c r="AG907" s="22"/>
      <c r="AH907" s="22"/>
      <c r="AI907" s="22"/>
      <c r="AJ907" s="22"/>
      <c r="AK907" s="23"/>
      <c r="AN907" s="24"/>
      <c r="AO907" s="24"/>
      <c r="AX907" s="25"/>
      <c r="BR907" s="25"/>
      <c r="CF907" s="27"/>
      <c r="CG907" s="27"/>
      <c r="CH907" s="27"/>
      <c r="CI907" s="27"/>
      <c r="CJ907" s="27"/>
      <c r="CK907" s="27"/>
    </row>
    <row r="908" ht="14.25" customHeight="1">
      <c r="A908" s="118"/>
      <c r="B908" s="118"/>
      <c r="C908" s="118"/>
      <c r="D908" s="119"/>
      <c r="E908" s="119"/>
      <c r="F908" s="118"/>
      <c r="G908" s="118"/>
      <c r="H908" s="118"/>
      <c r="I908" s="118"/>
      <c r="AF908" s="22"/>
      <c r="AG908" s="22"/>
      <c r="AH908" s="22"/>
      <c r="AI908" s="22"/>
      <c r="AJ908" s="22"/>
      <c r="AK908" s="23"/>
      <c r="AN908" s="24"/>
      <c r="AO908" s="24"/>
      <c r="AX908" s="25"/>
      <c r="BR908" s="25"/>
      <c r="CF908" s="27"/>
      <c r="CG908" s="27"/>
      <c r="CH908" s="27"/>
      <c r="CI908" s="27"/>
      <c r="CJ908" s="27"/>
      <c r="CK908" s="27"/>
    </row>
    <row r="909" ht="14.25" customHeight="1">
      <c r="A909" s="118"/>
      <c r="B909" s="118"/>
      <c r="C909" s="118"/>
      <c r="D909" s="119"/>
      <c r="E909" s="119"/>
      <c r="F909" s="118"/>
      <c r="G909" s="118"/>
      <c r="H909" s="118"/>
      <c r="I909" s="118"/>
      <c r="AF909" s="22"/>
      <c r="AG909" s="22"/>
      <c r="AH909" s="22"/>
      <c r="AI909" s="22"/>
      <c r="AJ909" s="22"/>
      <c r="AK909" s="23"/>
      <c r="AN909" s="24"/>
      <c r="AO909" s="24"/>
      <c r="AX909" s="25"/>
      <c r="BR909" s="25"/>
      <c r="CF909" s="27"/>
      <c r="CG909" s="27"/>
      <c r="CH909" s="27"/>
      <c r="CI909" s="27"/>
      <c r="CJ909" s="27"/>
      <c r="CK909" s="27"/>
    </row>
    <row r="910" ht="14.25" customHeight="1">
      <c r="A910" s="118"/>
      <c r="B910" s="118"/>
      <c r="C910" s="118"/>
      <c r="D910" s="119"/>
      <c r="E910" s="119"/>
      <c r="F910" s="118"/>
      <c r="G910" s="118"/>
      <c r="H910" s="118"/>
      <c r="I910" s="118"/>
      <c r="AF910" s="22"/>
      <c r="AG910" s="22"/>
      <c r="AH910" s="22"/>
      <c r="AI910" s="22"/>
      <c r="AJ910" s="22"/>
      <c r="AK910" s="23"/>
      <c r="AN910" s="24"/>
      <c r="AO910" s="24"/>
      <c r="AX910" s="25"/>
      <c r="BR910" s="25"/>
      <c r="CF910" s="27"/>
      <c r="CG910" s="27"/>
      <c r="CH910" s="27"/>
      <c r="CI910" s="27"/>
      <c r="CJ910" s="27"/>
      <c r="CK910" s="27"/>
    </row>
    <row r="911" ht="14.25" customHeight="1">
      <c r="A911" s="118"/>
      <c r="B911" s="118"/>
      <c r="C911" s="118"/>
      <c r="D911" s="119"/>
      <c r="E911" s="119"/>
      <c r="F911" s="118"/>
      <c r="G911" s="118"/>
      <c r="H911" s="118"/>
      <c r="I911" s="118"/>
      <c r="AF911" s="22"/>
      <c r="AG911" s="22"/>
      <c r="AH911" s="22"/>
      <c r="AI911" s="22"/>
      <c r="AJ911" s="22"/>
      <c r="AK911" s="23"/>
      <c r="AN911" s="24"/>
      <c r="AO911" s="24"/>
      <c r="AX911" s="25"/>
      <c r="BR911" s="25"/>
      <c r="CF911" s="27"/>
      <c r="CG911" s="27"/>
      <c r="CH911" s="27"/>
      <c r="CI911" s="27"/>
      <c r="CJ911" s="27"/>
      <c r="CK911" s="27"/>
    </row>
    <row r="912" ht="14.25" customHeight="1">
      <c r="A912" s="118"/>
      <c r="B912" s="118"/>
      <c r="C912" s="118"/>
      <c r="D912" s="119"/>
      <c r="E912" s="119"/>
      <c r="F912" s="118"/>
      <c r="G912" s="118"/>
      <c r="H912" s="118"/>
      <c r="I912" s="118"/>
      <c r="AF912" s="22"/>
      <c r="AG912" s="22"/>
      <c r="AH912" s="22"/>
      <c r="AI912" s="22"/>
      <c r="AJ912" s="22"/>
      <c r="AK912" s="23"/>
      <c r="AN912" s="24"/>
      <c r="AO912" s="24"/>
      <c r="AX912" s="25"/>
      <c r="BR912" s="25"/>
      <c r="CF912" s="27"/>
      <c r="CG912" s="27"/>
      <c r="CH912" s="27"/>
      <c r="CI912" s="27"/>
      <c r="CJ912" s="27"/>
      <c r="CK912" s="27"/>
    </row>
    <row r="913" ht="14.25" customHeight="1">
      <c r="A913" s="118"/>
      <c r="B913" s="118"/>
      <c r="C913" s="118"/>
      <c r="D913" s="119"/>
      <c r="E913" s="119"/>
      <c r="F913" s="118"/>
      <c r="G913" s="118"/>
      <c r="H913" s="118"/>
      <c r="I913" s="118"/>
      <c r="AF913" s="22"/>
      <c r="AG913" s="22"/>
      <c r="AH913" s="22"/>
      <c r="AI913" s="22"/>
      <c r="AJ913" s="22"/>
      <c r="AK913" s="23"/>
      <c r="AN913" s="24"/>
      <c r="AO913" s="24"/>
      <c r="AX913" s="25"/>
      <c r="BR913" s="25"/>
      <c r="CF913" s="27"/>
      <c r="CG913" s="27"/>
      <c r="CH913" s="27"/>
      <c r="CI913" s="27"/>
      <c r="CJ913" s="27"/>
      <c r="CK913" s="27"/>
    </row>
    <row r="914" ht="14.25" customHeight="1">
      <c r="A914" s="118"/>
      <c r="B914" s="118"/>
      <c r="C914" s="118"/>
      <c r="D914" s="119"/>
      <c r="E914" s="119"/>
      <c r="F914" s="118"/>
      <c r="G914" s="118"/>
      <c r="H914" s="118"/>
      <c r="I914" s="118"/>
      <c r="AF914" s="22"/>
      <c r="AG914" s="22"/>
      <c r="AH914" s="22"/>
      <c r="AI914" s="22"/>
      <c r="AJ914" s="22"/>
      <c r="AK914" s="23"/>
      <c r="AN914" s="24"/>
      <c r="AO914" s="24"/>
      <c r="AX914" s="25"/>
      <c r="BR914" s="25"/>
      <c r="CF914" s="27"/>
      <c r="CG914" s="27"/>
      <c r="CH914" s="27"/>
      <c r="CI914" s="27"/>
      <c r="CJ914" s="27"/>
      <c r="CK914" s="27"/>
    </row>
    <row r="915" ht="14.25" customHeight="1">
      <c r="A915" s="118"/>
      <c r="B915" s="118"/>
      <c r="C915" s="118"/>
      <c r="D915" s="119"/>
      <c r="E915" s="119"/>
      <c r="F915" s="118"/>
      <c r="G915" s="118"/>
      <c r="H915" s="118"/>
      <c r="I915" s="118"/>
      <c r="AF915" s="22"/>
      <c r="AG915" s="22"/>
      <c r="AH915" s="22"/>
      <c r="AI915" s="22"/>
      <c r="AJ915" s="22"/>
      <c r="AK915" s="23"/>
      <c r="AN915" s="24"/>
      <c r="AO915" s="24"/>
      <c r="AX915" s="25"/>
      <c r="BR915" s="25"/>
      <c r="CF915" s="27"/>
      <c r="CG915" s="27"/>
      <c r="CH915" s="27"/>
      <c r="CI915" s="27"/>
      <c r="CJ915" s="27"/>
      <c r="CK915" s="27"/>
    </row>
    <row r="916" ht="14.25" customHeight="1">
      <c r="A916" s="118"/>
      <c r="B916" s="118"/>
      <c r="C916" s="118"/>
      <c r="D916" s="119"/>
      <c r="E916" s="119"/>
      <c r="F916" s="118"/>
      <c r="G916" s="118"/>
      <c r="H916" s="118"/>
      <c r="I916" s="118"/>
      <c r="AF916" s="22"/>
      <c r="AG916" s="22"/>
      <c r="AH916" s="22"/>
      <c r="AI916" s="22"/>
      <c r="AJ916" s="22"/>
      <c r="AK916" s="23"/>
      <c r="AN916" s="24"/>
      <c r="AO916" s="24"/>
      <c r="AX916" s="25"/>
      <c r="BR916" s="25"/>
      <c r="CF916" s="27"/>
      <c r="CG916" s="27"/>
      <c r="CH916" s="27"/>
      <c r="CI916" s="27"/>
      <c r="CJ916" s="27"/>
      <c r="CK916" s="27"/>
    </row>
    <row r="917" ht="14.25" customHeight="1">
      <c r="A917" s="118"/>
      <c r="B917" s="118"/>
      <c r="C917" s="118"/>
      <c r="D917" s="119"/>
      <c r="E917" s="119"/>
      <c r="F917" s="118"/>
      <c r="G917" s="118"/>
      <c r="H917" s="118"/>
      <c r="I917" s="118"/>
      <c r="AF917" s="22"/>
      <c r="AG917" s="22"/>
      <c r="AH917" s="22"/>
      <c r="AI917" s="22"/>
      <c r="AJ917" s="22"/>
      <c r="AK917" s="23"/>
      <c r="AN917" s="24"/>
      <c r="AO917" s="24"/>
      <c r="AX917" s="25"/>
      <c r="BR917" s="25"/>
      <c r="CF917" s="27"/>
      <c r="CG917" s="27"/>
      <c r="CH917" s="27"/>
      <c r="CI917" s="27"/>
      <c r="CJ917" s="27"/>
      <c r="CK917" s="27"/>
    </row>
    <row r="918" ht="14.25" customHeight="1">
      <c r="A918" s="118"/>
      <c r="B918" s="118"/>
      <c r="C918" s="118"/>
      <c r="D918" s="119"/>
      <c r="E918" s="119"/>
      <c r="F918" s="118"/>
      <c r="G918" s="118"/>
      <c r="H918" s="118"/>
      <c r="I918" s="118"/>
      <c r="AF918" s="22"/>
      <c r="AG918" s="22"/>
      <c r="AH918" s="22"/>
      <c r="AI918" s="22"/>
      <c r="AJ918" s="22"/>
      <c r="AK918" s="23"/>
      <c r="AN918" s="24"/>
      <c r="AO918" s="24"/>
      <c r="AX918" s="25"/>
      <c r="BR918" s="25"/>
      <c r="CF918" s="27"/>
      <c r="CG918" s="27"/>
      <c r="CH918" s="27"/>
      <c r="CI918" s="27"/>
      <c r="CJ918" s="27"/>
      <c r="CK918" s="27"/>
    </row>
    <row r="919" ht="14.25" customHeight="1">
      <c r="A919" s="118"/>
      <c r="B919" s="118"/>
      <c r="C919" s="118"/>
      <c r="D919" s="119"/>
      <c r="E919" s="119"/>
      <c r="F919" s="118"/>
      <c r="G919" s="118"/>
      <c r="H919" s="118"/>
      <c r="I919" s="118"/>
      <c r="AF919" s="22"/>
      <c r="AG919" s="22"/>
      <c r="AH919" s="22"/>
      <c r="AI919" s="22"/>
      <c r="AJ919" s="22"/>
      <c r="AK919" s="23"/>
      <c r="AN919" s="24"/>
      <c r="AO919" s="24"/>
      <c r="AX919" s="25"/>
      <c r="BR919" s="25"/>
      <c r="CF919" s="27"/>
      <c r="CG919" s="27"/>
      <c r="CH919" s="27"/>
      <c r="CI919" s="27"/>
      <c r="CJ919" s="27"/>
      <c r="CK919" s="27"/>
    </row>
    <row r="920" ht="14.25" customHeight="1">
      <c r="A920" s="118"/>
      <c r="B920" s="118"/>
      <c r="C920" s="118"/>
      <c r="D920" s="119"/>
      <c r="E920" s="119"/>
      <c r="F920" s="118"/>
      <c r="G920" s="118"/>
      <c r="H920" s="118"/>
      <c r="I920" s="118"/>
      <c r="AF920" s="22"/>
      <c r="AG920" s="22"/>
      <c r="AH920" s="22"/>
      <c r="AI920" s="22"/>
      <c r="AJ920" s="22"/>
      <c r="AK920" s="23"/>
      <c r="AN920" s="24"/>
      <c r="AO920" s="24"/>
      <c r="AX920" s="25"/>
      <c r="BR920" s="25"/>
      <c r="CF920" s="27"/>
      <c r="CG920" s="27"/>
      <c r="CH920" s="27"/>
      <c r="CI920" s="27"/>
      <c r="CJ920" s="27"/>
      <c r="CK920" s="27"/>
    </row>
    <row r="921" ht="14.25" customHeight="1">
      <c r="A921" s="118"/>
      <c r="B921" s="118"/>
      <c r="C921" s="118"/>
      <c r="D921" s="119"/>
      <c r="E921" s="119"/>
      <c r="F921" s="118"/>
      <c r="G921" s="118"/>
      <c r="H921" s="118"/>
      <c r="I921" s="118"/>
      <c r="AF921" s="22"/>
      <c r="AG921" s="22"/>
      <c r="AH921" s="22"/>
      <c r="AI921" s="22"/>
      <c r="AJ921" s="22"/>
      <c r="AK921" s="23"/>
      <c r="AN921" s="24"/>
      <c r="AO921" s="24"/>
      <c r="AX921" s="25"/>
      <c r="BR921" s="25"/>
      <c r="CF921" s="27"/>
      <c r="CG921" s="27"/>
      <c r="CH921" s="27"/>
      <c r="CI921" s="27"/>
      <c r="CJ921" s="27"/>
      <c r="CK921" s="27"/>
    </row>
    <row r="922" ht="14.25" customHeight="1">
      <c r="A922" s="118"/>
      <c r="B922" s="118"/>
      <c r="C922" s="118"/>
      <c r="D922" s="119"/>
      <c r="E922" s="119"/>
      <c r="F922" s="118"/>
      <c r="G922" s="118"/>
      <c r="H922" s="118"/>
      <c r="I922" s="118"/>
      <c r="AF922" s="22"/>
      <c r="AG922" s="22"/>
      <c r="AH922" s="22"/>
      <c r="AI922" s="22"/>
      <c r="AJ922" s="22"/>
      <c r="AK922" s="23"/>
      <c r="AN922" s="24"/>
      <c r="AO922" s="24"/>
      <c r="AX922" s="25"/>
      <c r="BR922" s="25"/>
      <c r="CF922" s="27"/>
      <c r="CG922" s="27"/>
      <c r="CH922" s="27"/>
      <c r="CI922" s="27"/>
      <c r="CJ922" s="27"/>
      <c r="CK922" s="27"/>
    </row>
    <row r="923" ht="14.25" customHeight="1">
      <c r="A923" s="118"/>
      <c r="B923" s="118"/>
      <c r="C923" s="118"/>
      <c r="D923" s="119"/>
      <c r="E923" s="119"/>
      <c r="F923" s="118"/>
      <c r="G923" s="118"/>
      <c r="H923" s="118"/>
      <c r="I923" s="118"/>
      <c r="AF923" s="22"/>
      <c r="AG923" s="22"/>
      <c r="AH923" s="22"/>
      <c r="AI923" s="22"/>
      <c r="AJ923" s="22"/>
      <c r="AK923" s="23"/>
      <c r="AN923" s="24"/>
      <c r="AO923" s="24"/>
      <c r="AX923" s="25"/>
      <c r="BR923" s="25"/>
      <c r="CF923" s="27"/>
      <c r="CG923" s="27"/>
      <c r="CH923" s="27"/>
      <c r="CI923" s="27"/>
      <c r="CJ923" s="27"/>
      <c r="CK923" s="27"/>
    </row>
    <row r="924" ht="14.25" customHeight="1">
      <c r="A924" s="118"/>
      <c r="B924" s="118"/>
      <c r="C924" s="118"/>
      <c r="D924" s="119"/>
      <c r="E924" s="119"/>
      <c r="F924" s="118"/>
      <c r="G924" s="118"/>
      <c r="H924" s="118"/>
      <c r="I924" s="118"/>
      <c r="AF924" s="22"/>
      <c r="AG924" s="22"/>
      <c r="AH924" s="22"/>
      <c r="AI924" s="22"/>
      <c r="AJ924" s="22"/>
      <c r="AK924" s="23"/>
      <c r="AN924" s="24"/>
      <c r="AO924" s="24"/>
      <c r="AX924" s="25"/>
      <c r="BR924" s="25"/>
      <c r="CF924" s="27"/>
      <c r="CG924" s="27"/>
      <c r="CH924" s="27"/>
      <c r="CI924" s="27"/>
      <c r="CJ924" s="27"/>
      <c r="CK924" s="27"/>
    </row>
    <row r="925" ht="14.25" customHeight="1">
      <c r="A925" s="118"/>
      <c r="B925" s="118"/>
      <c r="C925" s="118"/>
      <c r="D925" s="119"/>
      <c r="E925" s="119"/>
      <c r="F925" s="118"/>
      <c r="G925" s="118"/>
      <c r="H925" s="118"/>
      <c r="I925" s="118"/>
      <c r="AF925" s="22"/>
      <c r="AG925" s="22"/>
      <c r="AH925" s="22"/>
      <c r="AI925" s="22"/>
      <c r="AJ925" s="22"/>
      <c r="AK925" s="23"/>
      <c r="AN925" s="24"/>
      <c r="AO925" s="24"/>
      <c r="AX925" s="25"/>
      <c r="BR925" s="25"/>
      <c r="CF925" s="27"/>
      <c r="CG925" s="27"/>
      <c r="CH925" s="27"/>
      <c r="CI925" s="27"/>
      <c r="CJ925" s="27"/>
      <c r="CK925" s="27"/>
    </row>
    <row r="926" ht="14.25" customHeight="1">
      <c r="A926" s="118"/>
      <c r="B926" s="118"/>
      <c r="C926" s="118"/>
      <c r="D926" s="119"/>
      <c r="E926" s="119"/>
      <c r="F926" s="118"/>
      <c r="G926" s="118"/>
      <c r="H926" s="118"/>
      <c r="I926" s="118"/>
      <c r="AF926" s="22"/>
      <c r="AG926" s="22"/>
      <c r="AH926" s="22"/>
      <c r="AI926" s="22"/>
      <c r="AJ926" s="22"/>
      <c r="AK926" s="23"/>
      <c r="AN926" s="24"/>
      <c r="AO926" s="24"/>
      <c r="AX926" s="25"/>
      <c r="BR926" s="25"/>
      <c r="CF926" s="27"/>
      <c r="CG926" s="27"/>
      <c r="CH926" s="27"/>
      <c r="CI926" s="27"/>
      <c r="CJ926" s="27"/>
      <c r="CK926" s="27"/>
    </row>
    <row r="927" ht="14.25" customHeight="1">
      <c r="A927" s="118"/>
      <c r="B927" s="118"/>
      <c r="C927" s="118"/>
      <c r="D927" s="119"/>
      <c r="E927" s="119"/>
      <c r="F927" s="118"/>
      <c r="G927" s="118"/>
      <c r="H927" s="118"/>
      <c r="I927" s="118"/>
      <c r="AF927" s="22"/>
      <c r="AG927" s="22"/>
      <c r="AH927" s="22"/>
      <c r="AI927" s="22"/>
      <c r="AJ927" s="22"/>
      <c r="AK927" s="23"/>
      <c r="AN927" s="24"/>
      <c r="AO927" s="24"/>
      <c r="AX927" s="25"/>
      <c r="BR927" s="25"/>
      <c r="CF927" s="27"/>
      <c r="CG927" s="27"/>
      <c r="CH927" s="27"/>
      <c r="CI927" s="27"/>
      <c r="CJ927" s="27"/>
      <c r="CK927" s="27"/>
    </row>
    <row r="928" ht="14.25" customHeight="1">
      <c r="A928" s="118"/>
      <c r="B928" s="118"/>
      <c r="C928" s="118"/>
      <c r="D928" s="119"/>
      <c r="E928" s="119"/>
      <c r="F928" s="118"/>
      <c r="G928" s="118"/>
      <c r="H928" s="118"/>
      <c r="I928" s="118"/>
      <c r="AF928" s="22"/>
      <c r="AG928" s="22"/>
      <c r="AH928" s="22"/>
      <c r="AI928" s="22"/>
      <c r="AJ928" s="22"/>
      <c r="AK928" s="23"/>
      <c r="AN928" s="24"/>
      <c r="AO928" s="24"/>
      <c r="AX928" s="25"/>
      <c r="BR928" s="25"/>
      <c r="CF928" s="27"/>
      <c r="CG928" s="27"/>
      <c r="CH928" s="27"/>
      <c r="CI928" s="27"/>
      <c r="CJ928" s="27"/>
      <c r="CK928" s="27"/>
    </row>
    <row r="929" ht="14.25" customHeight="1">
      <c r="A929" s="118"/>
      <c r="B929" s="118"/>
      <c r="C929" s="118"/>
      <c r="D929" s="119"/>
      <c r="E929" s="119"/>
      <c r="F929" s="118"/>
      <c r="G929" s="118"/>
      <c r="H929" s="118"/>
      <c r="I929" s="118"/>
      <c r="AF929" s="22"/>
      <c r="AG929" s="22"/>
      <c r="AH929" s="22"/>
      <c r="AI929" s="22"/>
      <c r="AJ929" s="22"/>
      <c r="AK929" s="23"/>
      <c r="AN929" s="24"/>
      <c r="AO929" s="24"/>
      <c r="AX929" s="25"/>
      <c r="BR929" s="25"/>
      <c r="CF929" s="27"/>
      <c r="CG929" s="27"/>
      <c r="CH929" s="27"/>
      <c r="CI929" s="27"/>
      <c r="CJ929" s="27"/>
      <c r="CK929" s="27"/>
    </row>
    <row r="930" ht="14.25" customHeight="1">
      <c r="A930" s="118"/>
      <c r="B930" s="118"/>
      <c r="C930" s="118"/>
      <c r="D930" s="119"/>
      <c r="E930" s="119"/>
      <c r="F930" s="118"/>
      <c r="G930" s="118"/>
      <c r="H930" s="118"/>
      <c r="I930" s="118"/>
      <c r="AF930" s="22"/>
      <c r="AG930" s="22"/>
      <c r="AH930" s="22"/>
      <c r="AI930" s="22"/>
      <c r="AJ930" s="22"/>
      <c r="AK930" s="23"/>
      <c r="AN930" s="24"/>
      <c r="AO930" s="24"/>
      <c r="AX930" s="25"/>
      <c r="BR930" s="25"/>
      <c r="CF930" s="27"/>
      <c r="CG930" s="27"/>
      <c r="CH930" s="27"/>
      <c r="CI930" s="27"/>
      <c r="CJ930" s="27"/>
      <c r="CK930" s="27"/>
    </row>
    <row r="931" ht="14.25" customHeight="1">
      <c r="A931" s="118"/>
      <c r="B931" s="118"/>
      <c r="C931" s="118"/>
      <c r="D931" s="119"/>
      <c r="E931" s="119"/>
      <c r="F931" s="118"/>
      <c r="G931" s="118"/>
      <c r="H931" s="118"/>
      <c r="I931" s="118"/>
      <c r="AF931" s="22"/>
      <c r="AG931" s="22"/>
      <c r="AH931" s="22"/>
      <c r="AI931" s="22"/>
      <c r="AJ931" s="22"/>
      <c r="AK931" s="23"/>
      <c r="AN931" s="24"/>
      <c r="AO931" s="24"/>
      <c r="AX931" s="25"/>
      <c r="BR931" s="25"/>
      <c r="CF931" s="27"/>
      <c r="CG931" s="27"/>
      <c r="CH931" s="27"/>
      <c r="CI931" s="27"/>
      <c r="CJ931" s="27"/>
      <c r="CK931" s="27"/>
    </row>
    <row r="932" ht="14.25" customHeight="1">
      <c r="A932" s="118"/>
      <c r="B932" s="118"/>
      <c r="C932" s="118"/>
      <c r="D932" s="119"/>
      <c r="E932" s="119"/>
      <c r="F932" s="118"/>
      <c r="G932" s="118"/>
      <c r="H932" s="118"/>
      <c r="I932" s="118"/>
      <c r="AF932" s="22"/>
      <c r="AG932" s="22"/>
      <c r="AH932" s="22"/>
      <c r="AI932" s="22"/>
      <c r="AJ932" s="22"/>
      <c r="AK932" s="23"/>
      <c r="AN932" s="24"/>
      <c r="AO932" s="24"/>
      <c r="AX932" s="25"/>
      <c r="BR932" s="25"/>
      <c r="CF932" s="27"/>
      <c r="CG932" s="27"/>
      <c r="CH932" s="27"/>
      <c r="CI932" s="27"/>
      <c r="CJ932" s="27"/>
      <c r="CK932" s="27"/>
    </row>
    <row r="933" ht="14.25" customHeight="1">
      <c r="A933" s="118"/>
      <c r="B933" s="118"/>
      <c r="C933" s="118"/>
      <c r="D933" s="119"/>
      <c r="E933" s="119"/>
      <c r="F933" s="118"/>
      <c r="G933" s="118"/>
      <c r="H933" s="118"/>
      <c r="I933" s="118"/>
      <c r="AF933" s="22"/>
      <c r="AG933" s="22"/>
      <c r="AH933" s="22"/>
      <c r="AI933" s="22"/>
      <c r="AJ933" s="22"/>
      <c r="AK933" s="23"/>
      <c r="AN933" s="24"/>
      <c r="AO933" s="24"/>
      <c r="AX933" s="25"/>
      <c r="BR933" s="25"/>
      <c r="CF933" s="27"/>
      <c r="CG933" s="27"/>
      <c r="CH933" s="27"/>
      <c r="CI933" s="27"/>
      <c r="CJ933" s="27"/>
      <c r="CK933" s="27"/>
    </row>
    <row r="934" ht="14.25" customHeight="1">
      <c r="A934" s="118"/>
      <c r="B934" s="118"/>
      <c r="C934" s="118"/>
      <c r="D934" s="119"/>
      <c r="E934" s="119"/>
      <c r="F934" s="118"/>
      <c r="G934" s="118"/>
      <c r="H934" s="118"/>
      <c r="I934" s="118"/>
      <c r="AF934" s="22"/>
      <c r="AG934" s="22"/>
      <c r="AH934" s="22"/>
      <c r="AI934" s="22"/>
      <c r="AJ934" s="22"/>
      <c r="AK934" s="23"/>
      <c r="AN934" s="24"/>
      <c r="AO934" s="24"/>
      <c r="AX934" s="25"/>
      <c r="BR934" s="25"/>
      <c r="CF934" s="27"/>
      <c r="CG934" s="27"/>
      <c r="CH934" s="27"/>
      <c r="CI934" s="27"/>
      <c r="CJ934" s="27"/>
      <c r="CK934" s="27"/>
    </row>
    <row r="935" ht="14.25" customHeight="1">
      <c r="A935" s="118"/>
      <c r="B935" s="118"/>
      <c r="C935" s="118"/>
      <c r="D935" s="119"/>
      <c r="E935" s="119"/>
      <c r="F935" s="118"/>
      <c r="G935" s="118"/>
      <c r="H935" s="118"/>
      <c r="I935" s="118"/>
      <c r="AF935" s="22"/>
      <c r="AG935" s="22"/>
      <c r="AH935" s="22"/>
      <c r="AI935" s="22"/>
      <c r="AJ935" s="22"/>
      <c r="AK935" s="23"/>
      <c r="AN935" s="24"/>
      <c r="AO935" s="24"/>
      <c r="AX935" s="25"/>
      <c r="BR935" s="25"/>
      <c r="CF935" s="27"/>
      <c r="CG935" s="27"/>
      <c r="CH935" s="27"/>
      <c r="CI935" s="27"/>
      <c r="CJ935" s="27"/>
      <c r="CK935" s="27"/>
    </row>
    <row r="936" ht="14.25" customHeight="1">
      <c r="A936" s="118"/>
      <c r="B936" s="118"/>
      <c r="C936" s="118"/>
      <c r="D936" s="119"/>
      <c r="E936" s="119"/>
      <c r="F936" s="118"/>
      <c r="G936" s="118"/>
      <c r="H936" s="118"/>
      <c r="I936" s="118"/>
      <c r="AF936" s="22"/>
      <c r="AG936" s="22"/>
      <c r="AH936" s="22"/>
      <c r="AI936" s="22"/>
      <c r="AJ936" s="22"/>
      <c r="AK936" s="23"/>
      <c r="AN936" s="24"/>
      <c r="AO936" s="24"/>
      <c r="AX936" s="25"/>
      <c r="BR936" s="25"/>
      <c r="CF936" s="27"/>
      <c r="CG936" s="27"/>
      <c r="CH936" s="27"/>
      <c r="CI936" s="27"/>
      <c r="CJ936" s="27"/>
      <c r="CK936" s="27"/>
    </row>
    <row r="937" ht="14.25" customHeight="1">
      <c r="A937" s="118"/>
      <c r="B937" s="118"/>
      <c r="C937" s="118"/>
      <c r="D937" s="119"/>
      <c r="E937" s="119"/>
      <c r="F937" s="118"/>
      <c r="G937" s="118"/>
      <c r="H937" s="118"/>
      <c r="I937" s="118"/>
      <c r="AF937" s="22"/>
      <c r="AG937" s="22"/>
      <c r="AH937" s="22"/>
      <c r="AI937" s="22"/>
      <c r="AJ937" s="22"/>
      <c r="AK937" s="23"/>
      <c r="AN937" s="24"/>
      <c r="AO937" s="24"/>
      <c r="AX937" s="25"/>
      <c r="BR937" s="25"/>
      <c r="CF937" s="27"/>
      <c r="CG937" s="27"/>
      <c r="CH937" s="27"/>
      <c r="CI937" s="27"/>
      <c r="CJ937" s="27"/>
      <c r="CK937" s="27"/>
    </row>
    <row r="938" ht="14.25" customHeight="1">
      <c r="A938" s="118"/>
      <c r="B938" s="118"/>
      <c r="C938" s="118"/>
      <c r="D938" s="119"/>
      <c r="E938" s="119"/>
      <c r="F938" s="118"/>
      <c r="G938" s="118"/>
      <c r="H938" s="118"/>
      <c r="I938" s="118"/>
      <c r="AF938" s="22"/>
      <c r="AG938" s="22"/>
      <c r="AH938" s="22"/>
      <c r="AI938" s="22"/>
      <c r="AJ938" s="22"/>
      <c r="AK938" s="23"/>
      <c r="AN938" s="24"/>
      <c r="AO938" s="24"/>
      <c r="AX938" s="25"/>
      <c r="BR938" s="25"/>
      <c r="CF938" s="27"/>
      <c r="CG938" s="27"/>
      <c r="CH938" s="27"/>
      <c r="CI938" s="27"/>
      <c r="CJ938" s="27"/>
      <c r="CK938" s="27"/>
    </row>
    <row r="939" ht="14.25" customHeight="1">
      <c r="A939" s="118"/>
      <c r="B939" s="118"/>
      <c r="C939" s="118"/>
      <c r="D939" s="119"/>
      <c r="E939" s="119"/>
      <c r="F939" s="118"/>
      <c r="G939" s="118"/>
      <c r="H939" s="118"/>
      <c r="I939" s="118"/>
      <c r="AF939" s="22"/>
      <c r="AG939" s="22"/>
      <c r="AH939" s="22"/>
      <c r="AI939" s="22"/>
      <c r="AJ939" s="22"/>
      <c r="AK939" s="23"/>
      <c r="AN939" s="24"/>
      <c r="AO939" s="24"/>
      <c r="AX939" s="25"/>
      <c r="BR939" s="25"/>
      <c r="CF939" s="27"/>
      <c r="CG939" s="27"/>
      <c r="CH939" s="27"/>
      <c r="CI939" s="27"/>
      <c r="CJ939" s="27"/>
      <c r="CK939" s="27"/>
    </row>
    <row r="940" ht="14.25" customHeight="1">
      <c r="A940" s="118"/>
      <c r="B940" s="118"/>
      <c r="C940" s="118"/>
      <c r="D940" s="119"/>
      <c r="E940" s="119"/>
      <c r="F940" s="118"/>
      <c r="G940" s="118"/>
      <c r="H940" s="118"/>
      <c r="I940" s="118"/>
      <c r="AF940" s="22"/>
      <c r="AG940" s="22"/>
      <c r="AH940" s="22"/>
      <c r="AI940" s="22"/>
      <c r="AJ940" s="22"/>
      <c r="AK940" s="23"/>
      <c r="AN940" s="24"/>
      <c r="AO940" s="24"/>
      <c r="AX940" s="25"/>
      <c r="BR940" s="25"/>
      <c r="CF940" s="27"/>
      <c r="CG940" s="27"/>
      <c r="CH940" s="27"/>
      <c r="CI940" s="27"/>
      <c r="CJ940" s="27"/>
      <c r="CK940" s="27"/>
    </row>
    <row r="941" ht="14.25" customHeight="1">
      <c r="A941" s="118"/>
      <c r="B941" s="118"/>
      <c r="C941" s="118"/>
      <c r="D941" s="119"/>
      <c r="E941" s="119"/>
      <c r="F941" s="118"/>
      <c r="G941" s="118"/>
      <c r="H941" s="118"/>
      <c r="I941" s="118"/>
      <c r="AF941" s="22"/>
      <c r="AG941" s="22"/>
      <c r="AH941" s="22"/>
      <c r="AI941" s="22"/>
      <c r="AJ941" s="22"/>
      <c r="AK941" s="23"/>
      <c r="AN941" s="24"/>
      <c r="AO941" s="24"/>
      <c r="AX941" s="25"/>
      <c r="BR941" s="25"/>
      <c r="CF941" s="27"/>
      <c r="CG941" s="27"/>
      <c r="CH941" s="27"/>
      <c r="CI941" s="27"/>
      <c r="CJ941" s="27"/>
      <c r="CK941" s="27"/>
    </row>
    <row r="942" ht="14.25" customHeight="1">
      <c r="A942" s="118"/>
      <c r="B942" s="118"/>
      <c r="C942" s="118"/>
      <c r="D942" s="119"/>
      <c r="E942" s="119"/>
      <c r="F942" s="118"/>
      <c r="G942" s="118"/>
      <c r="H942" s="118"/>
      <c r="I942" s="118"/>
      <c r="AF942" s="22"/>
      <c r="AG942" s="22"/>
      <c r="AH942" s="22"/>
      <c r="AI942" s="22"/>
      <c r="AJ942" s="22"/>
      <c r="AK942" s="23"/>
      <c r="AN942" s="24"/>
      <c r="AO942" s="24"/>
      <c r="AX942" s="25"/>
      <c r="BR942" s="25"/>
      <c r="CF942" s="27"/>
      <c r="CG942" s="27"/>
      <c r="CH942" s="27"/>
      <c r="CI942" s="27"/>
      <c r="CJ942" s="27"/>
      <c r="CK942" s="27"/>
    </row>
    <row r="943" ht="14.25" customHeight="1">
      <c r="A943" s="118"/>
      <c r="B943" s="118"/>
      <c r="C943" s="118"/>
      <c r="D943" s="119"/>
      <c r="E943" s="119"/>
      <c r="F943" s="118"/>
      <c r="G943" s="118"/>
      <c r="H943" s="118"/>
      <c r="I943" s="118"/>
      <c r="AF943" s="22"/>
      <c r="AG943" s="22"/>
      <c r="AH943" s="22"/>
      <c r="AI943" s="22"/>
      <c r="AJ943" s="22"/>
      <c r="AK943" s="23"/>
      <c r="AN943" s="24"/>
      <c r="AO943" s="24"/>
      <c r="AX943" s="25"/>
      <c r="BR943" s="25"/>
      <c r="CF943" s="27"/>
      <c r="CG943" s="27"/>
      <c r="CH943" s="27"/>
      <c r="CI943" s="27"/>
      <c r="CJ943" s="27"/>
      <c r="CK943" s="27"/>
    </row>
    <row r="944" ht="14.25" customHeight="1">
      <c r="A944" s="118"/>
      <c r="B944" s="118"/>
      <c r="C944" s="118"/>
      <c r="D944" s="119"/>
      <c r="E944" s="119"/>
      <c r="F944" s="118"/>
      <c r="G944" s="118"/>
      <c r="H944" s="118"/>
      <c r="I944" s="118"/>
      <c r="AF944" s="22"/>
      <c r="AG944" s="22"/>
      <c r="AH944" s="22"/>
      <c r="AI944" s="22"/>
      <c r="AJ944" s="22"/>
      <c r="AK944" s="23"/>
      <c r="AN944" s="24"/>
      <c r="AO944" s="24"/>
      <c r="AX944" s="25"/>
      <c r="BR944" s="25"/>
      <c r="CF944" s="27"/>
      <c r="CG944" s="27"/>
      <c r="CH944" s="27"/>
      <c r="CI944" s="27"/>
      <c r="CJ944" s="27"/>
      <c r="CK944" s="27"/>
    </row>
    <row r="945" ht="14.25" customHeight="1">
      <c r="A945" s="118"/>
      <c r="B945" s="118"/>
      <c r="C945" s="118"/>
      <c r="D945" s="119"/>
      <c r="E945" s="119"/>
      <c r="F945" s="118"/>
      <c r="G945" s="118"/>
      <c r="H945" s="118"/>
      <c r="I945" s="118"/>
      <c r="AF945" s="22"/>
      <c r="AG945" s="22"/>
      <c r="AH945" s="22"/>
      <c r="AI945" s="22"/>
      <c r="AJ945" s="22"/>
      <c r="AK945" s="23"/>
      <c r="AN945" s="24"/>
      <c r="AO945" s="24"/>
      <c r="AX945" s="25"/>
      <c r="BR945" s="25"/>
      <c r="CF945" s="27"/>
      <c r="CG945" s="27"/>
      <c r="CH945" s="27"/>
      <c r="CI945" s="27"/>
      <c r="CJ945" s="27"/>
      <c r="CK945" s="27"/>
    </row>
    <row r="946" ht="14.25" customHeight="1">
      <c r="A946" s="118"/>
      <c r="B946" s="118"/>
      <c r="C946" s="118"/>
      <c r="D946" s="119"/>
      <c r="E946" s="119"/>
      <c r="F946" s="118"/>
      <c r="G946" s="118"/>
      <c r="H946" s="118"/>
      <c r="I946" s="118"/>
      <c r="AF946" s="22"/>
      <c r="AG946" s="22"/>
      <c r="AH946" s="22"/>
      <c r="AI946" s="22"/>
      <c r="AJ946" s="22"/>
      <c r="AK946" s="23"/>
      <c r="AN946" s="24"/>
      <c r="AO946" s="24"/>
      <c r="AX946" s="25"/>
      <c r="BR946" s="25"/>
      <c r="CF946" s="27"/>
      <c r="CG946" s="27"/>
      <c r="CH946" s="27"/>
      <c r="CI946" s="27"/>
      <c r="CJ946" s="27"/>
      <c r="CK946" s="27"/>
    </row>
    <row r="947" ht="14.25" customHeight="1">
      <c r="A947" s="118"/>
      <c r="B947" s="118"/>
      <c r="C947" s="118"/>
      <c r="D947" s="119"/>
      <c r="E947" s="119"/>
      <c r="F947" s="118"/>
      <c r="G947" s="118"/>
      <c r="H947" s="118"/>
      <c r="I947" s="118"/>
      <c r="AF947" s="22"/>
      <c r="AG947" s="22"/>
      <c r="AH947" s="22"/>
      <c r="AI947" s="22"/>
      <c r="AJ947" s="22"/>
      <c r="AK947" s="23"/>
      <c r="AN947" s="24"/>
      <c r="AO947" s="24"/>
      <c r="AX947" s="25"/>
      <c r="BR947" s="25"/>
      <c r="CF947" s="27"/>
      <c r="CG947" s="27"/>
      <c r="CH947" s="27"/>
      <c r="CI947" s="27"/>
      <c r="CJ947" s="27"/>
      <c r="CK947" s="27"/>
    </row>
    <row r="948" ht="14.25" customHeight="1">
      <c r="A948" s="118"/>
      <c r="B948" s="118"/>
      <c r="C948" s="118"/>
      <c r="D948" s="119"/>
      <c r="E948" s="119"/>
      <c r="F948" s="118"/>
      <c r="G948" s="118"/>
      <c r="H948" s="118"/>
      <c r="I948" s="118"/>
      <c r="AF948" s="22"/>
      <c r="AG948" s="22"/>
      <c r="AH948" s="22"/>
      <c r="AI948" s="22"/>
      <c r="AJ948" s="22"/>
      <c r="AK948" s="23"/>
      <c r="AN948" s="24"/>
      <c r="AO948" s="24"/>
      <c r="AX948" s="25"/>
      <c r="BR948" s="25"/>
      <c r="CF948" s="27"/>
      <c r="CG948" s="27"/>
      <c r="CH948" s="27"/>
      <c r="CI948" s="27"/>
      <c r="CJ948" s="27"/>
      <c r="CK948" s="27"/>
    </row>
    <row r="949" ht="14.25" customHeight="1">
      <c r="A949" s="118"/>
      <c r="B949" s="118"/>
      <c r="C949" s="118"/>
      <c r="D949" s="119"/>
      <c r="E949" s="119"/>
      <c r="F949" s="118"/>
      <c r="G949" s="118"/>
      <c r="H949" s="118"/>
      <c r="I949" s="118"/>
      <c r="AF949" s="22"/>
      <c r="AG949" s="22"/>
      <c r="AH949" s="22"/>
      <c r="AI949" s="22"/>
      <c r="AJ949" s="22"/>
      <c r="AK949" s="23"/>
      <c r="AN949" s="24"/>
      <c r="AO949" s="24"/>
      <c r="AX949" s="25"/>
      <c r="BR949" s="25"/>
      <c r="CF949" s="27"/>
      <c r="CG949" s="27"/>
      <c r="CH949" s="27"/>
      <c r="CI949" s="27"/>
      <c r="CJ949" s="27"/>
      <c r="CK949" s="27"/>
    </row>
    <row r="950" ht="14.25" customHeight="1">
      <c r="A950" s="118"/>
      <c r="B950" s="118"/>
      <c r="C950" s="118"/>
      <c r="D950" s="119"/>
      <c r="E950" s="119"/>
      <c r="F950" s="118"/>
      <c r="G950" s="118"/>
      <c r="H950" s="118"/>
      <c r="I950" s="118"/>
      <c r="AF950" s="22"/>
      <c r="AG950" s="22"/>
      <c r="AH950" s="22"/>
      <c r="AI950" s="22"/>
      <c r="AJ950" s="22"/>
      <c r="AK950" s="23"/>
      <c r="AN950" s="24"/>
      <c r="AO950" s="24"/>
      <c r="AX950" s="25"/>
      <c r="BR950" s="25"/>
      <c r="CF950" s="27"/>
      <c r="CG950" s="27"/>
      <c r="CH950" s="27"/>
      <c r="CI950" s="27"/>
      <c r="CJ950" s="27"/>
      <c r="CK950" s="27"/>
    </row>
    <row r="951" ht="14.25" customHeight="1">
      <c r="A951" s="118"/>
      <c r="B951" s="118"/>
      <c r="C951" s="118"/>
      <c r="D951" s="119"/>
      <c r="E951" s="119"/>
      <c r="F951" s="118"/>
      <c r="G951" s="118"/>
      <c r="H951" s="118"/>
      <c r="I951" s="118"/>
      <c r="AF951" s="22"/>
      <c r="AG951" s="22"/>
      <c r="AH951" s="22"/>
      <c r="AI951" s="22"/>
      <c r="AJ951" s="22"/>
      <c r="AK951" s="23"/>
      <c r="AN951" s="24"/>
      <c r="AO951" s="24"/>
      <c r="AX951" s="25"/>
      <c r="BR951" s="25"/>
      <c r="CF951" s="27"/>
      <c r="CG951" s="27"/>
      <c r="CH951" s="27"/>
      <c r="CI951" s="27"/>
      <c r="CJ951" s="27"/>
      <c r="CK951" s="27"/>
    </row>
    <row r="952" ht="14.25" customHeight="1">
      <c r="A952" s="118"/>
      <c r="B952" s="118"/>
      <c r="C952" s="118"/>
      <c r="D952" s="119"/>
      <c r="E952" s="119"/>
      <c r="F952" s="118"/>
      <c r="G952" s="118"/>
      <c r="H952" s="118"/>
      <c r="I952" s="118"/>
      <c r="AF952" s="22"/>
      <c r="AG952" s="22"/>
      <c r="AH952" s="22"/>
      <c r="AI952" s="22"/>
      <c r="AJ952" s="22"/>
      <c r="AK952" s="23"/>
      <c r="AN952" s="24"/>
      <c r="AO952" s="24"/>
      <c r="AX952" s="25"/>
      <c r="BR952" s="25"/>
      <c r="CF952" s="27"/>
      <c r="CG952" s="27"/>
      <c r="CH952" s="27"/>
      <c r="CI952" s="27"/>
      <c r="CJ952" s="27"/>
      <c r="CK952" s="27"/>
    </row>
    <row r="953" ht="14.25" customHeight="1">
      <c r="A953" s="118"/>
      <c r="B953" s="118"/>
      <c r="C953" s="118"/>
      <c r="D953" s="119"/>
      <c r="E953" s="119"/>
      <c r="F953" s="118"/>
      <c r="G953" s="118"/>
      <c r="H953" s="118"/>
      <c r="I953" s="118"/>
      <c r="AF953" s="22"/>
      <c r="AG953" s="22"/>
      <c r="AH953" s="22"/>
      <c r="AI953" s="22"/>
      <c r="AJ953" s="22"/>
      <c r="AK953" s="23"/>
      <c r="AN953" s="24"/>
      <c r="AO953" s="24"/>
      <c r="AX953" s="25"/>
      <c r="BR953" s="25"/>
      <c r="CF953" s="27"/>
      <c r="CG953" s="27"/>
      <c r="CH953" s="27"/>
      <c r="CI953" s="27"/>
      <c r="CJ953" s="27"/>
      <c r="CK953" s="27"/>
    </row>
    <row r="954" ht="14.25" customHeight="1">
      <c r="A954" s="118"/>
      <c r="B954" s="118"/>
      <c r="C954" s="118"/>
      <c r="D954" s="119"/>
      <c r="E954" s="119"/>
      <c r="F954" s="118"/>
      <c r="G954" s="118"/>
      <c r="H954" s="118"/>
      <c r="I954" s="118"/>
      <c r="AF954" s="22"/>
      <c r="AG954" s="22"/>
      <c r="AH954" s="22"/>
      <c r="AI954" s="22"/>
      <c r="AJ954" s="22"/>
      <c r="AK954" s="23"/>
      <c r="AN954" s="24"/>
      <c r="AO954" s="24"/>
      <c r="AX954" s="25"/>
      <c r="BR954" s="25"/>
      <c r="CF954" s="27"/>
      <c r="CG954" s="27"/>
      <c r="CH954" s="27"/>
      <c r="CI954" s="27"/>
      <c r="CJ954" s="27"/>
      <c r="CK954" s="27"/>
    </row>
    <row r="955" ht="14.25" customHeight="1">
      <c r="A955" s="118"/>
      <c r="B955" s="118"/>
      <c r="C955" s="118"/>
      <c r="D955" s="119"/>
      <c r="E955" s="119"/>
      <c r="F955" s="118"/>
      <c r="G955" s="118"/>
      <c r="H955" s="118"/>
      <c r="I955" s="118"/>
      <c r="AF955" s="22"/>
      <c r="AG955" s="22"/>
      <c r="AH955" s="22"/>
      <c r="AI955" s="22"/>
      <c r="AJ955" s="22"/>
      <c r="AK955" s="23"/>
      <c r="AN955" s="24"/>
      <c r="AO955" s="24"/>
      <c r="AX955" s="25"/>
      <c r="BR955" s="25"/>
      <c r="CF955" s="27"/>
      <c r="CG955" s="27"/>
      <c r="CH955" s="27"/>
      <c r="CI955" s="27"/>
      <c r="CJ955" s="27"/>
      <c r="CK955" s="27"/>
    </row>
    <row r="956" ht="14.25" customHeight="1">
      <c r="A956" s="118"/>
      <c r="B956" s="118"/>
      <c r="C956" s="118"/>
      <c r="D956" s="119"/>
      <c r="E956" s="119"/>
      <c r="F956" s="118"/>
      <c r="G956" s="118"/>
      <c r="H956" s="118"/>
      <c r="I956" s="118"/>
      <c r="AF956" s="22"/>
      <c r="AG956" s="22"/>
      <c r="AH956" s="22"/>
      <c r="AI956" s="22"/>
      <c r="AJ956" s="22"/>
      <c r="AK956" s="23"/>
      <c r="AN956" s="24"/>
      <c r="AO956" s="24"/>
      <c r="AX956" s="25"/>
      <c r="BR956" s="25"/>
      <c r="CF956" s="27"/>
      <c r="CG956" s="27"/>
      <c r="CH956" s="27"/>
      <c r="CI956" s="27"/>
      <c r="CJ956" s="27"/>
      <c r="CK956" s="27"/>
    </row>
    <row r="957" ht="14.25" customHeight="1">
      <c r="A957" s="118"/>
      <c r="B957" s="118"/>
      <c r="C957" s="118"/>
      <c r="D957" s="119"/>
      <c r="E957" s="119"/>
      <c r="F957" s="118"/>
      <c r="G957" s="118"/>
      <c r="H957" s="118"/>
      <c r="I957" s="118"/>
      <c r="AF957" s="22"/>
      <c r="AG957" s="22"/>
      <c r="AH957" s="22"/>
      <c r="AI957" s="22"/>
      <c r="AJ957" s="22"/>
      <c r="AK957" s="23"/>
      <c r="AN957" s="24"/>
      <c r="AO957" s="24"/>
      <c r="AX957" s="25"/>
      <c r="BR957" s="25"/>
      <c r="CF957" s="27"/>
      <c r="CG957" s="27"/>
      <c r="CH957" s="27"/>
      <c r="CI957" s="27"/>
      <c r="CJ957" s="27"/>
      <c r="CK957" s="27"/>
    </row>
    <row r="958" ht="14.25" customHeight="1">
      <c r="A958" s="118"/>
      <c r="B958" s="118"/>
      <c r="C958" s="118"/>
      <c r="D958" s="119"/>
      <c r="E958" s="119"/>
      <c r="F958" s="118"/>
      <c r="G958" s="118"/>
      <c r="H958" s="118"/>
      <c r="I958" s="118"/>
      <c r="AF958" s="22"/>
      <c r="AG958" s="22"/>
      <c r="AH958" s="22"/>
      <c r="AI958" s="22"/>
      <c r="AJ958" s="22"/>
      <c r="AK958" s="23"/>
      <c r="AN958" s="24"/>
      <c r="AO958" s="24"/>
      <c r="AX958" s="25"/>
      <c r="BR958" s="25"/>
      <c r="CF958" s="27"/>
      <c r="CG958" s="27"/>
      <c r="CH958" s="27"/>
      <c r="CI958" s="27"/>
      <c r="CJ958" s="27"/>
      <c r="CK958" s="27"/>
    </row>
    <row r="959" ht="14.25" customHeight="1">
      <c r="A959" s="118"/>
      <c r="B959" s="118"/>
      <c r="C959" s="118"/>
      <c r="D959" s="119"/>
      <c r="E959" s="119"/>
      <c r="F959" s="118"/>
      <c r="G959" s="118"/>
      <c r="H959" s="118"/>
      <c r="I959" s="118"/>
      <c r="AF959" s="22"/>
      <c r="AG959" s="22"/>
      <c r="AH959" s="22"/>
      <c r="AI959" s="22"/>
      <c r="AJ959" s="22"/>
      <c r="AK959" s="23"/>
      <c r="AN959" s="24"/>
      <c r="AO959" s="24"/>
      <c r="AX959" s="25"/>
      <c r="BR959" s="25"/>
      <c r="CF959" s="27"/>
      <c r="CG959" s="27"/>
      <c r="CH959" s="27"/>
      <c r="CI959" s="27"/>
      <c r="CJ959" s="27"/>
      <c r="CK959" s="27"/>
    </row>
    <row r="960" ht="14.25" customHeight="1">
      <c r="A960" s="118"/>
      <c r="B960" s="118"/>
      <c r="C960" s="118"/>
      <c r="D960" s="119"/>
      <c r="E960" s="119"/>
      <c r="F960" s="118"/>
      <c r="G960" s="118"/>
      <c r="H960" s="118"/>
      <c r="I960" s="118"/>
      <c r="AF960" s="22"/>
      <c r="AG960" s="22"/>
      <c r="AH960" s="22"/>
      <c r="AI960" s="22"/>
      <c r="AJ960" s="22"/>
      <c r="AK960" s="23"/>
      <c r="AN960" s="24"/>
      <c r="AO960" s="24"/>
      <c r="AX960" s="25"/>
      <c r="BR960" s="25"/>
      <c r="CF960" s="27"/>
      <c r="CG960" s="27"/>
      <c r="CH960" s="27"/>
      <c r="CI960" s="27"/>
      <c r="CJ960" s="27"/>
      <c r="CK960" s="27"/>
    </row>
    <row r="961" ht="14.25" customHeight="1">
      <c r="A961" s="118"/>
      <c r="B961" s="118"/>
      <c r="C961" s="118"/>
      <c r="D961" s="119"/>
      <c r="E961" s="119"/>
      <c r="F961" s="118"/>
      <c r="G961" s="118"/>
      <c r="H961" s="118"/>
      <c r="I961" s="118"/>
      <c r="AF961" s="22"/>
      <c r="AG961" s="22"/>
      <c r="AH961" s="22"/>
      <c r="AI961" s="22"/>
      <c r="AJ961" s="22"/>
      <c r="AK961" s="23"/>
      <c r="AN961" s="24"/>
      <c r="AO961" s="24"/>
      <c r="AX961" s="25"/>
      <c r="BR961" s="25"/>
      <c r="CF961" s="27"/>
      <c r="CG961" s="27"/>
      <c r="CH961" s="27"/>
      <c r="CI961" s="27"/>
      <c r="CJ961" s="27"/>
      <c r="CK961" s="27"/>
    </row>
    <row r="962" ht="14.25" customHeight="1">
      <c r="A962" s="118"/>
      <c r="B962" s="118"/>
      <c r="C962" s="118"/>
      <c r="D962" s="119"/>
      <c r="E962" s="119"/>
      <c r="F962" s="118"/>
      <c r="G962" s="118"/>
      <c r="H962" s="118"/>
      <c r="I962" s="118"/>
      <c r="AF962" s="22"/>
      <c r="AG962" s="22"/>
      <c r="AH962" s="22"/>
      <c r="AI962" s="22"/>
      <c r="AJ962" s="22"/>
      <c r="AK962" s="23"/>
      <c r="AN962" s="24"/>
      <c r="AO962" s="24"/>
      <c r="AX962" s="25"/>
      <c r="BR962" s="25"/>
      <c r="CF962" s="27"/>
      <c r="CG962" s="27"/>
      <c r="CH962" s="27"/>
      <c r="CI962" s="27"/>
      <c r="CJ962" s="27"/>
      <c r="CK962" s="27"/>
    </row>
    <row r="963" ht="14.25" customHeight="1">
      <c r="A963" s="118"/>
      <c r="B963" s="118"/>
      <c r="C963" s="118"/>
      <c r="D963" s="119"/>
      <c r="E963" s="119"/>
      <c r="F963" s="118"/>
      <c r="G963" s="118"/>
      <c r="H963" s="118"/>
      <c r="I963" s="118"/>
      <c r="AF963" s="22"/>
      <c r="AG963" s="22"/>
      <c r="AH963" s="22"/>
      <c r="AI963" s="22"/>
      <c r="AJ963" s="22"/>
      <c r="AK963" s="23"/>
      <c r="AN963" s="24"/>
      <c r="AO963" s="24"/>
      <c r="AX963" s="25"/>
      <c r="BR963" s="25"/>
      <c r="CF963" s="27"/>
      <c r="CG963" s="27"/>
      <c r="CH963" s="27"/>
      <c r="CI963" s="27"/>
      <c r="CJ963" s="27"/>
      <c r="CK963" s="27"/>
    </row>
    <row r="964" ht="14.25" customHeight="1">
      <c r="A964" s="118"/>
      <c r="B964" s="118"/>
      <c r="C964" s="118"/>
      <c r="D964" s="119"/>
      <c r="E964" s="119"/>
      <c r="F964" s="118"/>
      <c r="G964" s="118"/>
      <c r="H964" s="118"/>
      <c r="I964" s="118"/>
      <c r="AF964" s="22"/>
      <c r="AG964" s="22"/>
      <c r="AH964" s="22"/>
      <c r="AI964" s="22"/>
      <c r="AJ964" s="22"/>
      <c r="AK964" s="23"/>
      <c r="AN964" s="24"/>
      <c r="AO964" s="24"/>
      <c r="AX964" s="25"/>
      <c r="BR964" s="25"/>
      <c r="CF964" s="27"/>
      <c r="CG964" s="27"/>
      <c r="CH964" s="27"/>
      <c r="CI964" s="27"/>
      <c r="CJ964" s="27"/>
      <c r="CK964" s="27"/>
    </row>
    <row r="965" ht="14.25" customHeight="1">
      <c r="A965" s="118"/>
      <c r="B965" s="118"/>
      <c r="C965" s="118"/>
      <c r="D965" s="119"/>
      <c r="E965" s="119"/>
      <c r="F965" s="118"/>
      <c r="G965" s="118"/>
      <c r="H965" s="118"/>
      <c r="I965" s="118"/>
      <c r="AF965" s="22"/>
      <c r="AG965" s="22"/>
      <c r="AH965" s="22"/>
      <c r="AI965" s="22"/>
      <c r="AJ965" s="22"/>
      <c r="AK965" s="23"/>
      <c r="AN965" s="24"/>
      <c r="AO965" s="24"/>
      <c r="AX965" s="25"/>
      <c r="BR965" s="25"/>
      <c r="CF965" s="27"/>
      <c r="CG965" s="27"/>
      <c r="CH965" s="27"/>
      <c r="CI965" s="27"/>
      <c r="CJ965" s="27"/>
      <c r="CK965" s="27"/>
    </row>
    <row r="966" ht="14.25" customHeight="1">
      <c r="A966" s="118"/>
      <c r="B966" s="118"/>
      <c r="C966" s="118"/>
      <c r="D966" s="119"/>
      <c r="E966" s="119"/>
      <c r="F966" s="118"/>
      <c r="G966" s="118"/>
      <c r="H966" s="118"/>
      <c r="I966" s="118"/>
      <c r="AF966" s="22"/>
      <c r="AG966" s="22"/>
      <c r="AH966" s="22"/>
      <c r="AI966" s="22"/>
      <c r="AJ966" s="22"/>
      <c r="AK966" s="23"/>
      <c r="AN966" s="24"/>
      <c r="AO966" s="24"/>
      <c r="AX966" s="25"/>
      <c r="BR966" s="25"/>
      <c r="CF966" s="27"/>
      <c r="CG966" s="27"/>
      <c r="CH966" s="27"/>
      <c r="CI966" s="27"/>
      <c r="CJ966" s="27"/>
      <c r="CK966" s="27"/>
    </row>
    <row r="967" ht="14.25" customHeight="1">
      <c r="A967" s="118"/>
      <c r="B967" s="118"/>
      <c r="C967" s="118"/>
      <c r="D967" s="119"/>
      <c r="E967" s="119"/>
      <c r="F967" s="118"/>
      <c r="G967" s="118"/>
      <c r="H967" s="118"/>
      <c r="I967" s="118"/>
      <c r="AF967" s="22"/>
      <c r="AG967" s="22"/>
      <c r="AH967" s="22"/>
      <c r="AI967" s="22"/>
      <c r="AJ967" s="22"/>
      <c r="AK967" s="23"/>
      <c r="AN967" s="24"/>
      <c r="AO967" s="24"/>
      <c r="AX967" s="25"/>
      <c r="BR967" s="25"/>
      <c r="CF967" s="27"/>
      <c r="CG967" s="27"/>
      <c r="CH967" s="27"/>
      <c r="CI967" s="27"/>
      <c r="CJ967" s="27"/>
      <c r="CK967" s="27"/>
    </row>
    <row r="968" ht="14.25" customHeight="1">
      <c r="A968" s="118"/>
      <c r="B968" s="118"/>
      <c r="C968" s="118"/>
      <c r="D968" s="119"/>
      <c r="E968" s="119"/>
      <c r="F968" s="118"/>
      <c r="G968" s="118"/>
      <c r="H968" s="118"/>
      <c r="I968" s="118"/>
      <c r="AF968" s="22"/>
      <c r="AG968" s="22"/>
      <c r="AH968" s="22"/>
      <c r="AI968" s="22"/>
      <c r="AJ968" s="22"/>
      <c r="AK968" s="23"/>
      <c r="AN968" s="24"/>
      <c r="AO968" s="24"/>
      <c r="AX968" s="25"/>
      <c r="BR968" s="25"/>
      <c r="CF968" s="27"/>
      <c r="CG968" s="27"/>
      <c r="CH968" s="27"/>
      <c r="CI968" s="27"/>
      <c r="CJ968" s="27"/>
      <c r="CK968" s="27"/>
    </row>
    <row r="969" ht="14.25" customHeight="1">
      <c r="A969" s="118"/>
      <c r="B969" s="118"/>
      <c r="C969" s="118"/>
      <c r="D969" s="119"/>
      <c r="E969" s="119"/>
      <c r="F969" s="118"/>
      <c r="G969" s="118"/>
      <c r="H969" s="118"/>
      <c r="I969" s="118"/>
      <c r="AF969" s="22"/>
      <c r="AG969" s="22"/>
      <c r="AH969" s="22"/>
      <c r="AI969" s="22"/>
      <c r="AJ969" s="22"/>
      <c r="AK969" s="23"/>
      <c r="AN969" s="24"/>
      <c r="AO969" s="24"/>
      <c r="AX969" s="25"/>
      <c r="BR969" s="25"/>
      <c r="CF969" s="27"/>
      <c r="CG969" s="27"/>
      <c r="CH969" s="27"/>
      <c r="CI969" s="27"/>
      <c r="CJ969" s="27"/>
      <c r="CK969" s="27"/>
    </row>
    <row r="970" ht="14.25" customHeight="1">
      <c r="A970" s="118"/>
      <c r="B970" s="118"/>
      <c r="C970" s="118"/>
      <c r="D970" s="119"/>
      <c r="E970" s="119"/>
      <c r="F970" s="118"/>
      <c r="G970" s="118"/>
      <c r="H970" s="118"/>
      <c r="I970" s="118"/>
      <c r="AF970" s="22"/>
      <c r="AG970" s="22"/>
      <c r="AH970" s="22"/>
      <c r="AI970" s="22"/>
      <c r="AJ970" s="22"/>
      <c r="AK970" s="23"/>
      <c r="AN970" s="24"/>
      <c r="AO970" s="24"/>
      <c r="AX970" s="25"/>
      <c r="BR970" s="25"/>
      <c r="CF970" s="27"/>
      <c r="CG970" s="27"/>
      <c r="CH970" s="27"/>
      <c r="CI970" s="27"/>
      <c r="CJ970" s="27"/>
      <c r="CK970" s="27"/>
    </row>
    <row r="971" ht="14.25" customHeight="1">
      <c r="A971" s="118"/>
      <c r="B971" s="118"/>
      <c r="C971" s="118"/>
      <c r="D971" s="119"/>
      <c r="E971" s="119"/>
      <c r="F971" s="118"/>
      <c r="G971" s="118"/>
      <c r="H971" s="118"/>
      <c r="I971" s="118"/>
      <c r="AF971" s="22"/>
      <c r="AG971" s="22"/>
      <c r="AH971" s="22"/>
      <c r="AI971" s="22"/>
      <c r="AJ971" s="22"/>
      <c r="AK971" s="23"/>
      <c r="AN971" s="24"/>
      <c r="AO971" s="24"/>
      <c r="AX971" s="25"/>
      <c r="BR971" s="25"/>
      <c r="CF971" s="27"/>
      <c r="CG971" s="27"/>
      <c r="CH971" s="27"/>
      <c r="CI971" s="27"/>
      <c r="CJ971" s="27"/>
      <c r="CK971" s="27"/>
    </row>
    <row r="972" ht="14.25" customHeight="1">
      <c r="A972" s="118"/>
      <c r="B972" s="118"/>
      <c r="C972" s="118"/>
      <c r="D972" s="119"/>
      <c r="E972" s="119"/>
      <c r="F972" s="118"/>
      <c r="G972" s="118"/>
      <c r="H972" s="118"/>
      <c r="I972" s="118"/>
      <c r="AF972" s="22"/>
      <c r="AG972" s="22"/>
      <c r="AH972" s="22"/>
      <c r="AI972" s="22"/>
      <c r="AJ972" s="22"/>
      <c r="AK972" s="23"/>
      <c r="AN972" s="24"/>
      <c r="AO972" s="24"/>
      <c r="AX972" s="25"/>
      <c r="BR972" s="25"/>
      <c r="CF972" s="27"/>
      <c r="CG972" s="27"/>
      <c r="CH972" s="27"/>
      <c r="CI972" s="27"/>
      <c r="CJ972" s="27"/>
      <c r="CK972" s="27"/>
    </row>
    <row r="973" ht="14.25" customHeight="1">
      <c r="A973" s="118"/>
      <c r="B973" s="118"/>
      <c r="C973" s="118"/>
      <c r="D973" s="119"/>
      <c r="E973" s="119"/>
      <c r="F973" s="118"/>
      <c r="G973" s="118"/>
      <c r="H973" s="118"/>
      <c r="I973" s="118"/>
      <c r="AF973" s="22"/>
      <c r="AG973" s="22"/>
      <c r="AH973" s="22"/>
      <c r="AI973" s="22"/>
      <c r="AJ973" s="22"/>
      <c r="AK973" s="23"/>
      <c r="AN973" s="24"/>
      <c r="AO973" s="24"/>
      <c r="AX973" s="25"/>
      <c r="BR973" s="25"/>
      <c r="CF973" s="27"/>
      <c r="CG973" s="27"/>
      <c r="CH973" s="27"/>
      <c r="CI973" s="27"/>
      <c r="CJ973" s="27"/>
      <c r="CK973" s="27"/>
    </row>
    <row r="974" ht="14.25" customHeight="1">
      <c r="A974" s="118"/>
      <c r="B974" s="118"/>
      <c r="C974" s="118"/>
      <c r="D974" s="119"/>
      <c r="E974" s="119"/>
      <c r="F974" s="118"/>
      <c r="G974" s="118"/>
      <c r="H974" s="118"/>
      <c r="I974" s="118"/>
      <c r="AF974" s="22"/>
      <c r="AG974" s="22"/>
      <c r="AH974" s="22"/>
      <c r="AI974" s="22"/>
      <c r="AJ974" s="22"/>
      <c r="AK974" s="23"/>
      <c r="AN974" s="24"/>
      <c r="AO974" s="24"/>
      <c r="AX974" s="25"/>
      <c r="BR974" s="25"/>
      <c r="CF974" s="27"/>
      <c r="CG974" s="27"/>
      <c r="CH974" s="27"/>
      <c r="CI974" s="27"/>
      <c r="CJ974" s="27"/>
      <c r="CK974" s="27"/>
    </row>
    <row r="975" ht="14.25" customHeight="1">
      <c r="A975" s="118"/>
      <c r="B975" s="118"/>
      <c r="C975" s="118"/>
      <c r="D975" s="119"/>
      <c r="E975" s="119"/>
      <c r="F975" s="118"/>
      <c r="G975" s="118"/>
      <c r="H975" s="118"/>
      <c r="I975" s="118"/>
      <c r="AF975" s="22"/>
      <c r="AG975" s="22"/>
      <c r="AH975" s="22"/>
      <c r="AI975" s="22"/>
      <c r="AJ975" s="22"/>
      <c r="AK975" s="23"/>
      <c r="AN975" s="24"/>
      <c r="AO975" s="24"/>
      <c r="AX975" s="25"/>
      <c r="BR975" s="25"/>
      <c r="CF975" s="27"/>
      <c r="CG975" s="27"/>
      <c r="CH975" s="27"/>
      <c r="CI975" s="27"/>
      <c r="CJ975" s="27"/>
      <c r="CK975" s="27"/>
    </row>
    <row r="976" ht="14.25" customHeight="1">
      <c r="A976" s="118"/>
      <c r="B976" s="118"/>
      <c r="C976" s="118"/>
      <c r="D976" s="119"/>
      <c r="E976" s="119"/>
      <c r="F976" s="118"/>
      <c r="G976" s="118"/>
      <c r="H976" s="118"/>
      <c r="I976" s="118"/>
      <c r="AF976" s="22"/>
      <c r="AG976" s="22"/>
      <c r="AH976" s="22"/>
      <c r="AI976" s="22"/>
      <c r="AJ976" s="22"/>
      <c r="AK976" s="23"/>
      <c r="AN976" s="24"/>
      <c r="AO976" s="24"/>
      <c r="AX976" s="25"/>
      <c r="BR976" s="25"/>
      <c r="CF976" s="27"/>
      <c r="CG976" s="27"/>
      <c r="CH976" s="27"/>
      <c r="CI976" s="27"/>
      <c r="CJ976" s="27"/>
      <c r="CK976" s="27"/>
    </row>
    <row r="977" ht="14.25" customHeight="1">
      <c r="A977" s="118"/>
      <c r="B977" s="118"/>
      <c r="C977" s="118"/>
      <c r="D977" s="119"/>
      <c r="E977" s="119"/>
      <c r="F977" s="118"/>
      <c r="G977" s="118"/>
      <c r="H977" s="118"/>
      <c r="I977" s="118"/>
      <c r="AF977" s="22"/>
      <c r="AG977" s="22"/>
      <c r="AH977" s="22"/>
      <c r="AI977" s="22"/>
      <c r="AJ977" s="22"/>
      <c r="AK977" s="23"/>
      <c r="AN977" s="24"/>
      <c r="AO977" s="24"/>
      <c r="AX977" s="25"/>
      <c r="BR977" s="25"/>
      <c r="CF977" s="27"/>
      <c r="CG977" s="27"/>
      <c r="CH977" s="27"/>
      <c r="CI977" s="27"/>
      <c r="CJ977" s="27"/>
      <c r="CK977" s="27"/>
    </row>
    <row r="978" ht="14.25" customHeight="1">
      <c r="A978" s="118"/>
      <c r="B978" s="118"/>
      <c r="C978" s="118"/>
      <c r="D978" s="119"/>
      <c r="E978" s="119"/>
      <c r="F978" s="118"/>
      <c r="G978" s="118"/>
      <c r="H978" s="118"/>
      <c r="I978" s="118"/>
      <c r="AF978" s="22"/>
      <c r="AG978" s="22"/>
      <c r="AH978" s="22"/>
      <c r="AI978" s="22"/>
      <c r="AJ978" s="22"/>
      <c r="AK978" s="23"/>
      <c r="AN978" s="24"/>
      <c r="AO978" s="24"/>
      <c r="AX978" s="25"/>
      <c r="BR978" s="25"/>
      <c r="CF978" s="27"/>
      <c r="CG978" s="27"/>
      <c r="CH978" s="27"/>
      <c r="CI978" s="27"/>
      <c r="CJ978" s="27"/>
      <c r="CK978" s="27"/>
    </row>
    <row r="979" ht="14.25" customHeight="1">
      <c r="A979" s="118"/>
      <c r="B979" s="118"/>
      <c r="C979" s="118"/>
      <c r="D979" s="119"/>
      <c r="E979" s="119"/>
      <c r="F979" s="118"/>
      <c r="G979" s="118"/>
      <c r="H979" s="118"/>
      <c r="I979" s="118"/>
      <c r="AF979" s="22"/>
      <c r="AG979" s="22"/>
      <c r="AH979" s="22"/>
      <c r="AI979" s="22"/>
      <c r="AJ979" s="22"/>
      <c r="AK979" s="23"/>
      <c r="AN979" s="24"/>
      <c r="AO979" s="24"/>
      <c r="AX979" s="25"/>
      <c r="BR979" s="25"/>
      <c r="CF979" s="27"/>
      <c r="CG979" s="27"/>
      <c r="CH979" s="27"/>
      <c r="CI979" s="27"/>
      <c r="CJ979" s="27"/>
      <c r="CK979" s="27"/>
    </row>
    <row r="980" ht="14.25" customHeight="1">
      <c r="A980" s="118"/>
      <c r="B980" s="118"/>
      <c r="C980" s="118"/>
      <c r="D980" s="119"/>
      <c r="E980" s="119"/>
      <c r="F980" s="118"/>
      <c r="G980" s="118"/>
      <c r="H980" s="118"/>
      <c r="I980" s="118"/>
      <c r="AF980" s="22"/>
      <c r="AG980" s="22"/>
      <c r="AH980" s="22"/>
      <c r="AI980" s="22"/>
      <c r="AJ980" s="22"/>
      <c r="AK980" s="23"/>
      <c r="AN980" s="24"/>
      <c r="AO980" s="24"/>
      <c r="AX980" s="25"/>
      <c r="BR980" s="25"/>
      <c r="CF980" s="27"/>
      <c r="CG980" s="27"/>
      <c r="CH980" s="27"/>
      <c r="CI980" s="27"/>
      <c r="CJ980" s="27"/>
      <c r="CK980" s="27"/>
    </row>
    <row r="981" ht="14.25" customHeight="1">
      <c r="A981" s="118"/>
      <c r="B981" s="118"/>
      <c r="C981" s="118"/>
      <c r="D981" s="119"/>
      <c r="E981" s="119"/>
      <c r="F981" s="118"/>
      <c r="G981" s="118"/>
      <c r="H981" s="118"/>
      <c r="I981" s="118"/>
      <c r="AF981" s="22"/>
      <c r="AG981" s="22"/>
      <c r="AH981" s="22"/>
      <c r="AI981" s="22"/>
      <c r="AJ981" s="22"/>
      <c r="AK981" s="23"/>
      <c r="AN981" s="24"/>
      <c r="AO981" s="24"/>
      <c r="AX981" s="25"/>
      <c r="BR981" s="25"/>
      <c r="CF981" s="27"/>
      <c r="CG981" s="27"/>
      <c r="CH981" s="27"/>
      <c r="CI981" s="27"/>
      <c r="CJ981" s="27"/>
      <c r="CK981" s="27"/>
    </row>
    <row r="982" ht="14.25" customHeight="1">
      <c r="A982" s="118"/>
      <c r="B982" s="118"/>
      <c r="C982" s="118"/>
      <c r="D982" s="119"/>
      <c r="E982" s="119"/>
      <c r="F982" s="118"/>
      <c r="G982" s="118"/>
      <c r="H982" s="118"/>
      <c r="I982" s="118"/>
      <c r="AF982" s="22"/>
      <c r="AG982" s="22"/>
      <c r="AH982" s="22"/>
      <c r="AI982" s="22"/>
      <c r="AJ982" s="22"/>
      <c r="AK982" s="23"/>
      <c r="AN982" s="24"/>
      <c r="AO982" s="24"/>
      <c r="AX982" s="25"/>
      <c r="BR982" s="25"/>
      <c r="CF982" s="27"/>
      <c r="CG982" s="27"/>
      <c r="CH982" s="27"/>
      <c r="CI982" s="27"/>
      <c r="CJ982" s="27"/>
      <c r="CK982" s="27"/>
    </row>
    <row r="983" ht="14.25" customHeight="1">
      <c r="A983" s="118"/>
      <c r="B983" s="118"/>
      <c r="C983" s="118"/>
      <c r="D983" s="119"/>
      <c r="E983" s="119"/>
      <c r="F983" s="118"/>
      <c r="G983" s="118"/>
      <c r="H983" s="118"/>
      <c r="I983" s="118"/>
      <c r="AF983" s="22"/>
      <c r="AG983" s="22"/>
      <c r="AH983" s="22"/>
      <c r="AI983" s="22"/>
      <c r="AJ983" s="22"/>
      <c r="AK983" s="23"/>
      <c r="AN983" s="24"/>
      <c r="AO983" s="24"/>
      <c r="AX983" s="25"/>
      <c r="BR983" s="25"/>
      <c r="CF983" s="27"/>
      <c r="CG983" s="27"/>
      <c r="CH983" s="27"/>
      <c r="CI983" s="27"/>
      <c r="CJ983" s="27"/>
      <c r="CK983" s="27"/>
    </row>
    <row r="984" ht="14.25" customHeight="1">
      <c r="A984" s="118"/>
      <c r="B984" s="118"/>
      <c r="C984" s="118"/>
      <c r="D984" s="119"/>
      <c r="E984" s="119"/>
      <c r="F984" s="118"/>
      <c r="G984" s="118"/>
      <c r="H984" s="118"/>
      <c r="I984" s="118"/>
      <c r="AF984" s="22"/>
      <c r="AG984" s="22"/>
      <c r="AH984" s="22"/>
      <c r="AI984" s="22"/>
      <c r="AJ984" s="22"/>
      <c r="AK984" s="23"/>
      <c r="AN984" s="24"/>
      <c r="AO984" s="24"/>
      <c r="AX984" s="25"/>
      <c r="BR984" s="25"/>
      <c r="CF984" s="27"/>
      <c r="CG984" s="27"/>
      <c r="CH984" s="27"/>
      <c r="CI984" s="27"/>
      <c r="CJ984" s="27"/>
      <c r="CK984" s="27"/>
    </row>
    <row r="985" ht="14.25" customHeight="1">
      <c r="A985" s="118"/>
      <c r="B985" s="118"/>
      <c r="C985" s="118"/>
      <c r="D985" s="119"/>
      <c r="E985" s="119"/>
      <c r="F985" s="118"/>
      <c r="G985" s="118"/>
      <c r="H985" s="118"/>
      <c r="I985" s="118"/>
      <c r="AF985" s="22"/>
      <c r="AG985" s="22"/>
      <c r="AH985" s="22"/>
      <c r="AI985" s="22"/>
      <c r="AJ985" s="22"/>
      <c r="AK985" s="23"/>
      <c r="AN985" s="24"/>
      <c r="AO985" s="24"/>
      <c r="AX985" s="25"/>
      <c r="BR985" s="25"/>
      <c r="CF985" s="27"/>
      <c r="CG985" s="27"/>
      <c r="CH985" s="27"/>
      <c r="CI985" s="27"/>
      <c r="CJ985" s="27"/>
      <c r="CK985" s="27"/>
    </row>
    <row r="986" ht="14.25" customHeight="1">
      <c r="A986" s="118"/>
      <c r="B986" s="118"/>
      <c r="C986" s="118"/>
      <c r="D986" s="119"/>
      <c r="E986" s="119"/>
      <c r="F986" s="118"/>
      <c r="G986" s="118"/>
      <c r="H986" s="118"/>
      <c r="I986" s="118"/>
      <c r="AF986" s="22"/>
      <c r="AG986" s="22"/>
      <c r="AH986" s="22"/>
      <c r="AI986" s="22"/>
      <c r="AJ986" s="22"/>
      <c r="AK986" s="23"/>
      <c r="AN986" s="24"/>
      <c r="AO986" s="24"/>
      <c r="AX986" s="25"/>
      <c r="BR986" s="25"/>
      <c r="CF986" s="27"/>
      <c r="CG986" s="27"/>
      <c r="CH986" s="27"/>
      <c r="CI986" s="27"/>
      <c r="CJ986" s="27"/>
      <c r="CK986" s="27"/>
    </row>
    <row r="987" ht="14.25" customHeight="1">
      <c r="A987" s="118"/>
      <c r="B987" s="118"/>
      <c r="C987" s="118"/>
      <c r="D987" s="119"/>
      <c r="E987" s="119"/>
      <c r="F987" s="118"/>
      <c r="G987" s="118"/>
      <c r="H987" s="118"/>
      <c r="I987" s="118"/>
      <c r="AF987" s="22"/>
      <c r="AG987" s="22"/>
      <c r="AH987" s="22"/>
      <c r="AI987" s="22"/>
      <c r="AJ987" s="22"/>
      <c r="AK987" s="23"/>
      <c r="AN987" s="24"/>
      <c r="AO987" s="24"/>
      <c r="AX987" s="25"/>
      <c r="BR987" s="25"/>
      <c r="CF987" s="27"/>
      <c r="CG987" s="27"/>
      <c r="CH987" s="27"/>
      <c r="CI987" s="27"/>
      <c r="CJ987" s="27"/>
      <c r="CK987" s="27"/>
    </row>
    <row r="988" ht="14.25" customHeight="1">
      <c r="A988" s="118"/>
      <c r="B988" s="118"/>
      <c r="C988" s="118"/>
      <c r="D988" s="119"/>
      <c r="E988" s="119"/>
      <c r="F988" s="118"/>
      <c r="G988" s="118"/>
      <c r="H988" s="118"/>
      <c r="I988" s="118"/>
      <c r="AF988" s="22"/>
      <c r="AG988" s="22"/>
      <c r="AH988" s="22"/>
      <c r="AI988" s="22"/>
      <c r="AJ988" s="22"/>
      <c r="AK988" s="23"/>
      <c r="AN988" s="24"/>
      <c r="AO988" s="24"/>
      <c r="AX988" s="25"/>
      <c r="BR988" s="25"/>
      <c r="CF988" s="27"/>
      <c r="CG988" s="27"/>
      <c r="CH988" s="27"/>
      <c r="CI988" s="27"/>
      <c r="CJ988" s="27"/>
      <c r="CK988" s="27"/>
    </row>
    <row r="989" ht="14.25" customHeight="1">
      <c r="A989" s="118"/>
      <c r="B989" s="118"/>
      <c r="C989" s="118"/>
      <c r="D989" s="119"/>
      <c r="E989" s="119"/>
      <c r="F989" s="118"/>
      <c r="G989" s="118"/>
      <c r="H989" s="118"/>
      <c r="I989" s="118"/>
      <c r="AF989" s="22"/>
      <c r="AG989" s="22"/>
      <c r="AH989" s="22"/>
      <c r="AI989" s="22"/>
      <c r="AJ989" s="22"/>
      <c r="AK989" s="23"/>
      <c r="AN989" s="24"/>
      <c r="AO989" s="24"/>
      <c r="AX989" s="25"/>
      <c r="BR989" s="25"/>
      <c r="CF989" s="27"/>
      <c r="CG989" s="27"/>
      <c r="CH989" s="27"/>
      <c r="CI989" s="27"/>
      <c r="CJ989" s="27"/>
      <c r="CK989" s="27"/>
    </row>
    <row r="990" ht="14.25" customHeight="1">
      <c r="A990" s="118"/>
      <c r="B990" s="118"/>
      <c r="C990" s="118"/>
      <c r="D990" s="119"/>
      <c r="E990" s="119"/>
      <c r="F990" s="118"/>
      <c r="G990" s="118"/>
      <c r="H990" s="118"/>
      <c r="I990" s="118"/>
      <c r="AF990" s="22"/>
      <c r="AG990" s="22"/>
      <c r="AH990" s="22"/>
      <c r="AI990" s="22"/>
      <c r="AJ990" s="22"/>
      <c r="AK990" s="23"/>
      <c r="AN990" s="24"/>
      <c r="AO990" s="24"/>
      <c r="AX990" s="25"/>
      <c r="BR990" s="25"/>
      <c r="CF990" s="27"/>
      <c r="CG990" s="27"/>
      <c r="CH990" s="27"/>
      <c r="CI990" s="27"/>
      <c r="CJ990" s="27"/>
      <c r="CK990" s="27"/>
    </row>
    <row r="991" ht="14.25" customHeight="1">
      <c r="A991" s="118"/>
      <c r="B991" s="118"/>
      <c r="C991" s="118"/>
      <c r="D991" s="119"/>
      <c r="E991" s="119"/>
      <c r="F991" s="118"/>
      <c r="G991" s="118"/>
      <c r="H991" s="118"/>
      <c r="I991" s="118"/>
      <c r="AF991" s="22"/>
      <c r="AG991" s="22"/>
      <c r="AH991" s="22"/>
      <c r="AI991" s="22"/>
      <c r="AJ991" s="22"/>
      <c r="AK991" s="23"/>
      <c r="AN991" s="24"/>
      <c r="AO991" s="24"/>
      <c r="AX991" s="25"/>
      <c r="BR991" s="25"/>
      <c r="CF991" s="27"/>
      <c r="CG991" s="27"/>
      <c r="CH991" s="27"/>
      <c r="CI991" s="27"/>
      <c r="CJ991" s="27"/>
      <c r="CK991" s="27"/>
    </row>
    <row r="992" ht="14.25" customHeight="1">
      <c r="A992" s="118"/>
      <c r="B992" s="118"/>
      <c r="C992" s="118"/>
      <c r="D992" s="119"/>
      <c r="E992" s="119"/>
      <c r="F992" s="118"/>
      <c r="G992" s="118"/>
      <c r="H992" s="118"/>
      <c r="I992" s="118"/>
      <c r="AF992" s="22"/>
      <c r="AG992" s="22"/>
      <c r="AH992" s="22"/>
      <c r="AI992" s="22"/>
      <c r="AJ992" s="22"/>
      <c r="AK992" s="23"/>
      <c r="AN992" s="24"/>
      <c r="AO992" s="24"/>
      <c r="AX992" s="25"/>
      <c r="BR992" s="25"/>
      <c r="CF992" s="27"/>
      <c r="CG992" s="27"/>
      <c r="CH992" s="27"/>
      <c r="CI992" s="27"/>
      <c r="CJ992" s="27"/>
      <c r="CK992" s="27"/>
    </row>
    <row r="993" ht="14.25" customHeight="1">
      <c r="A993" s="118"/>
      <c r="B993" s="118"/>
      <c r="C993" s="118"/>
      <c r="D993" s="119"/>
      <c r="E993" s="119"/>
      <c r="F993" s="118"/>
      <c r="G993" s="118"/>
      <c r="H993" s="118"/>
      <c r="I993" s="118"/>
      <c r="AF993" s="22"/>
      <c r="AG993" s="22"/>
      <c r="AH993" s="22"/>
      <c r="AI993" s="22"/>
      <c r="AJ993" s="22"/>
      <c r="AK993" s="23"/>
      <c r="AN993" s="24"/>
      <c r="AO993" s="24"/>
      <c r="AX993" s="25"/>
      <c r="BR993" s="25"/>
      <c r="CF993" s="27"/>
      <c r="CG993" s="27"/>
      <c r="CH993" s="27"/>
      <c r="CI993" s="27"/>
      <c r="CJ993" s="27"/>
      <c r="CK993" s="27"/>
    </row>
    <row r="994" ht="14.25" customHeight="1">
      <c r="A994" s="118"/>
      <c r="B994" s="118"/>
      <c r="C994" s="118"/>
      <c r="D994" s="119"/>
      <c r="E994" s="119"/>
      <c r="F994" s="118"/>
      <c r="G994" s="118"/>
      <c r="H994" s="118"/>
      <c r="I994" s="118"/>
      <c r="AF994" s="22"/>
      <c r="AG994" s="22"/>
      <c r="AH994" s="22"/>
      <c r="AI994" s="22"/>
      <c r="AJ994" s="22"/>
      <c r="AK994" s="23"/>
      <c r="AN994" s="24"/>
      <c r="AO994" s="24"/>
      <c r="AX994" s="25"/>
      <c r="BR994" s="25"/>
      <c r="CF994" s="27"/>
      <c r="CG994" s="27"/>
      <c r="CH994" s="27"/>
      <c r="CI994" s="27"/>
      <c r="CJ994" s="27"/>
      <c r="CK994" s="27"/>
    </row>
    <row r="995" ht="14.25" customHeight="1">
      <c r="A995" s="118"/>
      <c r="B995" s="118"/>
      <c r="C995" s="118"/>
      <c r="D995" s="119"/>
      <c r="E995" s="119"/>
      <c r="F995" s="118"/>
      <c r="G995" s="118"/>
      <c r="H995" s="118"/>
      <c r="I995" s="118"/>
      <c r="AF995" s="22"/>
      <c r="AG995" s="22"/>
      <c r="AH995" s="22"/>
      <c r="AI995" s="22"/>
      <c r="AJ995" s="22"/>
      <c r="AK995" s="23"/>
      <c r="AN995" s="24"/>
      <c r="AO995" s="24"/>
      <c r="AX995" s="25"/>
      <c r="BR995" s="25"/>
      <c r="CF995" s="27"/>
      <c r="CG995" s="27"/>
      <c r="CH995" s="27"/>
      <c r="CI995" s="27"/>
      <c r="CJ995" s="27"/>
      <c r="CK995" s="27"/>
    </row>
    <row r="996" ht="14.25" customHeight="1">
      <c r="A996" s="118"/>
      <c r="B996" s="118"/>
      <c r="C996" s="118"/>
      <c r="D996" s="119"/>
      <c r="E996" s="119"/>
      <c r="F996" s="118"/>
      <c r="G996" s="118"/>
      <c r="H996" s="118"/>
      <c r="I996" s="118"/>
      <c r="AF996" s="22"/>
      <c r="AG996" s="22"/>
      <c r="AH996" s="22"/>
      <c r="AI996" s="22"/>
      <c r="AJ996" s="22"/>
      <c r="AK996" s="23"/>
      <c r="AN996" s="24"/>
      <c r="AO996" s="24"/>
      <c r="AX996" s="25"/>
      <c r="BR996" s="25"/>
      <c r="CF996" s="27"/>
      <c r="CG996" s="27"/>
      <c r="CH996" s="27"/>
      <c r="CI996" s="27"/>
      <c r="CJ996" s="27"/>
      <c r="CK996" s="27"/>
    </row>
    <row r="997" ht="14.25" customHeight="1">
      <c r="A997" s="118"/>
      <c r="B997" s="118"/>
      <c r="C997" s="118"/>
      <c r="D997" s="119"/>
      <c r="E997" s="119"/>
      <c r="F997" s="118"/>
      <c r="G997" s="118"/>
      <c r="H997" s="118"/>
      <c r="I997" s="118"/>
      <c r="AF997" s="22"/>
      <c r="AG997" s="22"/>
      <c r="AH997" s="22"/>
      <c r="AI997" s="22"/>
      <c r="AJ997" s="22"/>
      <c r="AK997" s="23"/>
      <c r="AN997" s="24"/>
      <c r="AO997" s="24"/>
      <c r="AX997" s="25"/>
      <c r="BR997" s="25"/>
      <c r="CF997" s="27"/>
      <c r="CG997" s="27"/>
      <c r="CH997" s="27"/>
      <c r="CI997" s="27"/>
      <c r="CJ997" s="27"/>
      <c r="CK997" s="27"/>
    </row>
    <row r="998" ht="14.25" customHeight="1">
      <c r="A998" s="118"/>
      <c r="B998" s="118"/>
      <c r="C998" s="118"/>
      <c r="D998" s="119"/>
      <c r="E998" s="119"/>
      <c r="F998" s="118"/>
      <c r="G998" s="118"/>
      <c r="H998" s="118"/>
      <c r="I998" s="118"/>
      <c r="AF998" s="22"/>
      <c r="AG998" s="22"/>
      <c r="AH998" s="22"/>
      <c r="AI998" s="22"/>
      <c r="AJ998" s="22"/>
      <c r="AK998" s="23"/>
      <c r="AN998" s="24"/>
      <c r="AO998" s="24"/>
      <c r="AX998" s="25"/>
      <c r="BR998" s="25"/>
      <c r="CF998" s="27"/>
      <c r="CG998" s="27"/>
      <c r="CH998" s="27"/>
      <c r="CI998" s="27"/>
      <c r="CJ998" s="27"/>
      <c r="CK998" s="27"/>
    </row>
    <row r="999" ht="14.25" customHeight="1">
      <c r="A999" s="118"/>
      <c r="B999" s="118"/>
      <c r="C999" s="118"/>
      <c r="D999" s="119"/>
      <c r="E999" s="119"/>
      <c r="F999" s="118"/>
      <c r="G999" s="118"/>
      <c r="H999" s="118"/>
      <c r="I999" s="118"/>
      <c r="AF999" s="22"/>
      <c r="AG999" s="22"/>
      <c r="AH999" s="22"/>
      <c r="AI999" s="22"/>
      <c r="AJ999" s="22"/>
      <c r="AK999" s="23"/>
      <c r="AN999" s="24"/>
      <c r="AO999" s="24"/>
      <c r="AX999" s="25"/>
      <c r="BR999" s="25"/>
      <c r="CF999" s="27"/>
      <c r="CG999" s="27"/>
      <c r="CH999" s="27"/>
      <c r="CI999" s="27"/>
      <c r="CJ999" s="27"/>
      <c r="CK999" s="27"/>
    </row>
    <row r="1000" ht="14.25" customHeight="1">
      <c r="A1000" s="118"/>
      <c r="B1000" s="118"/>
      <c r="C1000" s="118"/>
      <c r="D1000" s="119"/>
      <c r="E1000" s="119"/>
      <c r="F1000" s="118"/>
      <c r="G1000" s="118"/>
      <c r="H1000" s="118"/>
      <c r="I1000" s="118"/>
      <c r="AF1000" s="22"/>
      <c r="AG1000" s="22"/>
      <c r="AH1000" s="22"/>
      <c r="AI1000" s="22"/>
      <c r="AJ1000" s="22"/>
      <c r="AK1000" s="23"/>
      <c r="AN1000" s="24"/>
      <c r="AO1000" s="24"/>
      <c r="AX1000" s="25"/>
      <c r="BR1000" s="25"/>
      <c r="CF1000" s="27"/>
      <c r="CG1000" s="27"/>
      <c r="CH1000" s="27"/>
      <c r="CI1000" s="27"/>
      <c r="CJ1000" s="27"/>
      <c r="CK1000" s="27"/>
    </row>
  </sheetData>
  <mergeCells count="1">
    <mergeCell ref="BH14:BO14"/>
  </mergeCells>
  <printOptions/>
  <pageMargins bottom="0.75" footer="0.0" header="0.0" left="0.7" right="0.7" top="0.75"/>
  <pageSetup orientation="landscape"/>
  <drawing r:id="rId12"/>
  <legacy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Davit Khutsishvili</dc:creator>
</cp:coreProperties>
</file>